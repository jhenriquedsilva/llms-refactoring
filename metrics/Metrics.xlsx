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ity, Correctness, and Text" sheetId="1" r:id="rId5"/>
  </sheets>
  <definedNames/>
  <calcPr/>
</workbook>
</file>

<file path=xl/sharedStrings.xml><?xml version="1.0" encoding="utf-8"?>
<sst xmlns="http://schemas.openxmlformats.org/spreadsheetml/2006/main" count="361" uniqueCount="64">
  <si>
    <t>LEGEND</t>
  </si>
  <si>
    <t xml:space="preserve">1 = COMPILES </t>
  </si>
  <si>
    <t>0 = DOES NOT COMPILE</t>
  </si>
  <si>
    <t>VALIDITY, CORRECTNESS, AND NORMALIZED EDIT DISTANCE ARE PERCENTAGES</t>
  </si>
  <si>
    <t>EXTRACT METHOD</t>
  </si>
  <si>
    <t>MEAN</t>
  </si>
  <si>
    <t>STANDARD DEVIATION</t>
  </si>
  <si>
    <t>COMPILED IN ALL RESPONSES</t>
  </si>
  <si>
    <t>PASSED ALL TESTS</t>
  </si>
  <si>
    <t>PERCENTAGE OF IDENTICAL CODE</t>
  </si>
  <si>
    <t>COMPILED AND PASSED ALL TESTS</t>
  </si>
  <si>
    <t>UNSTABLE IN TERMS OF VALIDITY</t>
  </si>
  <si>
    <t>UNSTABLE IN TERMS OF CORRECTNESS</t>
  </si>
  <si>
    <t>Example 1</t>
  </si>
  <si>
    <t>Example 2</t>
  </si>
  <si>
    <t>Example 3</t>
  </si>
  <si>
    <t>Example 4</t>
  </si>
  <si>
    <t>Example 5</t>
  </si>
  <si>
    <t>Example 6</t>
  </si>
  <si>
    <t>Example 7</t>
  </si>
  <si>
    <t>Example 8</t>
  </si>
  <si>
    <t>Example 9</t>
  </si>
  <si>
    <t>Example 10</t>
  </si>
  <si>
    <t>Example 11</t>
  </si>
  <si>
    <t>Example 12</t>
  </si>
  <si>
    <t>Example 13</t>
  </si>
  <si>
    <t>Example 14</t>
  </si>
  <si>
    <t>Example 15</t>
  </si>
  <si>
    <t>Example 16</t>
  </si>
  <si>
    <t>Example 17</t>
  </si>
  <si>
    <t>Example 18</t>
  </si>
  <si>
    <t>Example 19</t>
  </si>
  <si>
    <t>Example 20</t>
  </si>
  <si>
    <t>Validity</t>
  </si>
  <si>
    <t>Response 1</t>
  </si>
  <si>
    <t>Response 2</t>
  </si>
  <si>
    <t>Response 3</t>
  </si>
  <si>
    <t>Response 4</t>
  </si>
  <si>
    <t>Response 5</t>
  </si>
  <si>
    <t>Percentage of responses that compile</t>
  </si>
  <si>
    <t>Correctness</t>
  </si>
  <si>
    <t>69,2</t>
  </si>
  <si>
    <t>Mean of the percentages of tests that pass in each response</t>
  </si>
  <si>
    <t>Haven't been able to run the tests</t>
  </si>
  <si>
    <t>No test</t>
  </si>
  <si>
    <t>No tests</t>
  </si>
  <si>
    <t>Normalized Edit Distance</t>
  </si>
  <si>
    <t>Maximum of relative</t>
  </si>
  <si>
    <t>Minimum of relative</t>
  </si>
  <si>
    <t>Mean of relative</t>
  </si>
  <si>
    <t>Standard Deviation of relative</t>
  </si>
  <si>
    <t>Levenshtein edit distance</t>
  </si>
  <si>
    <t>Total number of characters of the "after" in the refactoring database (comparison reference)</t>
  </si>
  <si>
    <t>EXTRACT VARIABLE</t>
  </si>
  <si>
    <t>Mean</t>
  </si>
  <si>
    <t>Standard Deviation</t>
  </si>
  <si>
    <t>Compiled in all responses</t>
  </si>
  <si>
    <t>Passed the tests in all responses</t>
  </si>
  <si>
    <t>Percentage of exactly identical code</t>
  </si>
  <si>
    <t>No refactoring suggestion</t>
  </si>
  <si>
    <t>RENAME ATTRIBUTE</t>
  </si>
  <si>
    <t>RENAME METHOD</t>
  </si>
  <si>
    <t>Some errors happening. Review later</t>
  </si>
  <si>
    <t>RENAME PARAMETER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</si>
</sst>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2" fontId="2" numFmtId="0" xfId="0" applyFont="1"/>
    <xf borderId="0" fillId="3" fontId="1" numFmtId="0" xfId="0" applyAlignment="1" applyFill="1" applyFont="1">
      <alignment readingOrder="0" shrinkToFit="0" vertical="bottom" wrapText="1"/>
    </xf>
    <xf borderId="0" fillId="4" fontId="1" numFmtId="0" xfId="0" applyAlignment="1" applyFill="1" applyFont="1">
      <alignment horizontal="center" readingOrder="0" vertical="bottom"/>
    </xf>
    <xf borderId="0" fillId="4" fontId="2" numFmtId="0" xfId="0" applyAlignment="1" applyFont="1">
      <alignment horizontal="center" readingOrder="0"/>
    </xf>
    <xf borderId="0" fillId="4" fontId="1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horizontal="center" readingOrder="0" shrinkToFit="0" vertical="bottom" wrapText="1"/>
    </xf>
    <xf borderId="0" fillId="4" fontId="1" numFmtId="0" xfId="0" applyAlignment="1" applyFont="1">
      <alignment readingOrder="0" shrinkToFit="0" vertical="bottom" wrapText="1"/>
    </xf>
    <xf borderId="0" fillId="2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right"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0" fontId="1" numFmtId="0" xfId="0" applyAlignment="1" applyFont="1">
      <alignment horizontal="center" shrinkToFit="0" vertical="bottom" wrapText="1"/>
    </xf>
    <xf borderId="0" fillId="5" fontId="1" numFmtId="0" xfId="0" applyAlignment="1" applyFont="1">
      <alignment readingOrder="0" shrinkToFit="0" vertical="center" wrapText="1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shrinkToFit="0" vertical="center" wrapText="1"/>
    </xf>
    <xf borderId="0" fillId="2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Font="1"/>
    <xf borderId="0" fillId="3" fontId="1" numFmtId="0" xfId="0" applyAlignment="1" applyFont="1">
      <alignment shrinkToFit="0" vertical="bottom" wrapText="1"/>
    </xf>
    <xf borderId="0" fillId="5" fontId="1" numFmtId="0" xfId="0" applyAlignment="1" applyFont="1">
      <alignment readingOrder="0" shrinkToFit="0" vertical="bottom" wrapText="1"/>
    </xf>
    <xf borderId="0" fillId="2" fontId="1" numFmtId="0" xfId="0" applyAlignment="1" applyFont="1">
      <alignment horizontal="center" vertical="bottom"/>
    </xf>
    <xf borderId="0" fillId="7" fontId="3" numFmtId="0" xfId="0" applyAlignment="1" applyFill="1" applyFont="1">
      <alignment horizontal="right" vertical="bottom"/>
    </xf>
    <xf borderId="0" fillId="7" fontId="1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7" fontId="1" numFmtId="0" xfId="0" applyAlignment="1" applyFont="1">
      <alignment vertical="bottom"/>
    </xf>
    <xf borderId="0" fillId="0" fontId="1" numFmtId="0" xfId="0" applyAlignment="1" applyFont="1">
      <alignment horizontal="right" shrinkToFit="0" wrapText="1"/>
    </xf>
    <xf borderId="0" fillId="2" fontId="1" numFmtId="0" xfId="0" applyAlignment="1" applyFont="1">
      <alignment horizontal="right" shrinkToFit="0" wrapText="1"/>
    </xf>
    <xf borderId="0" fillId="3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24" max="24" width="22.0"/>
    <col customWidth="1" min="25" max="25" width="27.25"/>
    <col customWidth="1" min="26" max="26" width="19.13"/>
    <col customWidth="1" min="27" max="27" width="30.63"/>
    <col customWidth="1" min="29" max="29" width="37.75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E2" s="2"/>
      <c r="G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4" t="s">
        <v>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6"/>
      <c r="X3" s="6"/>
      <c r="Y3" s="7"/>
      <c r="Z3" s="7"/>
      <c r="AA3" s="7"/>
      <c r="AB3" s="8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 ht="15.75" customHeight="1">
      <c r="A4" s="9" t="s">
        <v>4</v>
      </c>
      <c r="W4" s="10" t="s">
        <v>5</v>
      </c>
      <c r="X4" s="10" t="s">
        <v>6</v>
      </c>
      <c r="Y4" s="11" t="s">
        <v>7</v>
      </c>
      <c r="Z4" s="11" t="s">
        <v>8</v>
      </c>
      <c r="AA4" s="11" t="s">
        <v>9</v>
      </c>
      <c r="AB4" s="11" t="s">
        <v>9</v>
      </c>
      <c r="AC4" s="12" t="s">
        <v>10</v>
      </c>
      <c r="AD4" s="13" t="s">
        <v>11</v>
      </c>
      <c r="AG4" s="14" t="s">
        <v>12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 ht="15.75" customHeight="1">
      <c r="A5" s="3"/>
      <c r="B5" s="3"/>
      <c r="C5" s="15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2" t="s">
        <v>22</v>
      </c>
      <c r="M5" s="2" t="s">
        <v>23</v>
      </c>
      <c r="N5" s="2" t="s">
        <v>24</v>
      </c>
      <c r="O5" s="2" t="s">
        <v>25</v>
      </c>
      <c r="P5" s="2" t="s">
        <v>26</v>
      </c>
      <c r="Q5" s="2" t="s">
        <v>27</v>
      </c>
      <c r="R5" s="2" t="s">
        <v>28</v>
      </c>
      <c r="S5" s="2" t="s">
        <v>29</v>
      </c>
      <c r="T5" s="2" t="s">
        <v>30</v>
      </c>
      <c r="U5" s="2" t="s">
        <v>31</v>
      </c>
      <c r="V5" s="2" t="s">
        <v>32</v>
      </c>
      <c r="W5" s="16"/>
      <c r="X5" s="16"/>
      <c r="Y5" s="17"/>
      <c r="Z5" s="17"/>
      <c r="AA5" s="18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3"/>
      <c r="AZ5" s="3"/>
      <c r="BC5" s="3"/>
      <c r="BD5" s="3"/>
    </row>
    <row r="6" ht="15.75" customHeight="1">
      <c r="A6" s="19" t="s">
        <v>33</v>
      </c>
      <c r="B6" s="19" t="s">
        <v>34</v>
      </c>
      <c r="C6" s="20">
        <v>1.0</v>
      </c>
      <c r="D6" s="20">
        <v>1.0</v>
      </c>
      <c r="E6" s="20">
        <v>1.0</v>
      </c>
      <c r="F6" s="20">
        <v>1.0</v>
      </c>
      <c r="G6" s="20">
        <v>1.0</v>
      </c>
      <c r="H6" s="20">
        <v>1.0</v>
      </c>
      <c r="I6" s="20">
        <v>0.0</v>
      </c>
      <c r="J6" s="20">
        <v>0.0</v>
      </c>
      <c r="K6" s="20">
        <v>1.0</v>
      </c>
      <c r="L6" s="20">
        <v>0.0</v>
      </c>
      <c r="M6" s="20">
        <v>1.0</v>
      </c>
      <c r="N6" s="20">
        <v>1.0</v>
      </c>
      <c r="O6" s="20">
        <v>0.0</v>
      </c>
      <c r="P6" s="20">
        <v>1.0</v>
      </c>
      <c r="Q6" s="20">
        <v>1.0</v>
      </c>
      <c r="R6" s="20">
        <v>0.0</v>
      </c>
      <c r="S6" s="20">
        <v>1.0</v>
      </c>
      <c r="T6" s="20">
        <v>1.0</v>
      </c>
      <c r="U6" s="20">
        <v>0.0</v>
      </c>
      <c r="V6" s="20">
        <v>1.0</v>
      </c>
      <c r="W6" s="16"/>
      <c r="X6" s="16"/>
      <c r="Y6" s="18"/>
      <c r="Z6" s="18"/>
      <c r="AA6" s="18"/>
      <c r="AC6" s="21"/>
      <c r="AD6" s="21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0"/>
      <c r="AZ6" s="20"/>
      <c r="BC6" s="20"/>
      <c r="BD6" s="20"/>
    </row>
    <row r="7" ht="15.75" customHeight="1">
      <c r="B7" s="19" t="s">
        <v>35</v>
      </c>
      <c r="C7" s="20">
        <v>1.0</v>
      </c>
      <c r="D7" s="20">
        <v>0.0</v>
      </c>
      <c r="E7" s="20">
        <v>1.0</v>
      </c>
      <c r="F7" s="20">
        <v>1.0</v>
      </c>
      <c r="G7" s="20">
        <v>1.0</v>
      </c>
      <c r="H7" s="20">
        <v>1.0</v>
      </c>
      <c r="I7" s="20">
        <v>1.0</v>
      </c>
      <c r="J7" s="20">
        <v>0.0</v>
      </c>
      <c r="K7" s="20">
        <v>1.0</v>
      </c>
      <c r="L7" s="20">
        <v>1.0</v>
      </c>
      <c r="M7" s="20">
        <v>1.0</v>
      </c>
      <c r="N7" s="20">
        <v>1.0</v>
      </c>
      <c r="O7" s="20">
        <v>0.0</v>
      </c>
      <c r="P7" s="20">
        <v>1.0</v>
      </c>
      <c r="Q7" s="20">
        <v>1.0</v>
      </c>
      <c r="R7" s="20">
        <v>1.0</v>
      </c>
      <c r="S7" s="20">
        <v>1.0</v>
      </c>
      <c r="T7" s="20">
        <v>1.0</v>
      </c>
      <c r="U7" s="20">
        <v>0.0</v>
      </c>
      <c r="V7" s="20">
        <v>1.0</v>
      </c>
      <c r="W7" s="16"/>
      <c r="X7" s="16"/>
      <c r="Y7" s="18"/>
      <c r="Z7" s="18"/>
      <c r="AA7" s="18"/>
      <c r="AC7" s="21"/>
      <c r="AD7" s="21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0"/>
      <c r="AZ7" s="20"/>
      <c r="BC7" s="20"/>
      <c r="BD7" s="20"/>
    </row>
    <row r="8" ht="15.75" customHeight="1">
      <c r="B8" s="19" t="s">
        <v>36</v>
      </c>
      <c r="C8" s="20">
        <v>1.0</v>
      </c>
      <c r="D8" s="20">
        <v>1.0</v>
      </c>
      <c r="E8" s="20">
        <v>1.0</v>
      </c>
      <c r="F8" s="20">
        <v>1.0</v>
      </c>
      <c r="G8" s="20">
        <v>1.0</v>
      </c>
      <c r="H8" s="20">
        <v>1.0</v>
      </c>
      <c r="I8" s="20">
        <v>0.0</v>
      </c>
      <c r="J8" s="20">
        <v>0.0</v>
      </c>
      <c r="K8" s="20">
        <v>1.0</v>
      </c>
      <c r="L8" s="20">
        <v>1.0</v>
      </c>
      <c r="M8" s="20">
        <v>0.0</v>
      </c>
      <c r="N8" s="20">
        <v>1.0</v>
      </c>
      <c r="O8" s="20">
        <v>0.0</v>
      </c>
      <c r="P8" s="20">
        <v>1.0</v>
      </c>
      <c r="Q8" s="20">
        <v>1.0</v>
      </c>
      <c r="R8" s="20">
        <v>1.0</v>
      </c>
      <c r="S8" s="20">
        <v>1.0</v>
      </c>
      <c r="T8" s="20">
        <v>1.0</v>
      </c>
      <c r="U8" s="20">
        <v>0.0</v>
      </c>
      <c r="V8" s="20">
        <v>1.0</v>
      </c>
      <c r="W8" s="16"/>
      <c r="X8" s="16"/>
      <c r="Y8" s="18"/>
      <c r="Z8" s="18"/>
      <c r="AA8" s="18"/>
      <c r="AC8" s="21"/>
      <c r="AD8" s="21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0"/>
      <c r="AZ8" s="20"/>
      <c r="BC8" s="20"/>
      <c r="BD8" s="20"/>
    </row>
    <row r="9" ht="15.75" customHeight="1">
      <c r="B9" s="19" t="s">
        <v>37</v>
      </c>
      <c r="C9" s="20">
        <v>1.0</v>
      </c>
      <c r="D9" s="20">
        <v>1.0</v>
      </c>
      <c r="E9" s="20">
        <v>1.0</v>
      </c>
      <c r="F9" s="20">
        <v>1.0</v>
      </c>
      <c r="G9" s="20">
        <v>1.0</v>
      </c>
      <c r="H9" s="20">
        <v>0.0</v>
      </c>
      <c r="I9" s="20">
        <v>0.0</v>
      </c>
      <c r="J9" s="20">
        <v>0.0</v>
      </c>
      <c r="K9" s="20">
        <v>1.0</v>
      </c>
      <c r="L9" s="20">
        <v>1.0</v>
      </c>
      <c r="M9" s="20">
        <v>0.0</v>
      </c>
      <c r="N9" s="20">
        <v>1.0</v>
      </c>
      <c r="O9" s="20">
        <v>1.0</v>
      </c>
      <c r="P9" s="20">
        <v>1.0</v>
      </c>
      <c r="Q9" s="20">
        <v>1.0</v>
      </c>
      <c r="R9" s="20">
        <v>1.0</v>
      </c>
      <c r="S9" s="20">
        <v>1.0</v>
      </c>
      <c r="T9" s="20">
        <v>1.0</v>
      </c>
      <c r="U9" s="20">
        <v>0.0</v>
      </c>
      <c r="V9" s="20">
        <v>1.0</v>
      </c>
      <c r="W9" s="16"/>
      <c r="X9" s="16"/>
      <c r="Y9" s="18"/>
      <c r="Z9" s="18"/>
      <c r="AA9" s="18"/>
      <c r="AC9" s="21"/>
      <c r="AD9" s="21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0"/>
      <c r="AZ9" s="20"/>
      <c r="BC9" s="20"/>
      <c r="BD9" s="20"/>
    </row>
    <row r="10" ht="15.75" customHeight="1">
      <c r="B10" s="19" t="s">
        <v>38</v>
      </c>
      <c r="C10" s="20">
        <v>1.0</v>
      </c>
      <c r="D10" s="20">
        <v>1.0</v>
      </c>
      <c r="E10" s="20">
        <v>1.0</v>
      </c>
      <c r="F10" s="20">
        <v>1.0</v>
      </c>
      <c r="G10" s="20">
        <v>1.0</v>
      </c>
      <c r="H10" s="20">
        <v>0.0</v>
      </c>
      <c r="I10" s="20">
        <v>1.0</v>
      </c>
      <c r="J10" s="20">
        <v>0.0</v>
      </c>
      <c r="K10" s="20">
        <v>1.0</v>
      </c>
      <c r="L10" s="20">
        <v>1.0</v>
      </c>
      <c r="M10" s="20">
        <v>0.0</v>
      </c>
      <c r="N10" s="20">
        <v>1.0</v>
      </c>
      <c r="O10" s="20">
        <v>0.0</v>
      </c>
      <c r="P10" s="20">
        <v>1.0</v>
      </c>
      <c r="Q10" s="20">
        <v>1.0</v>
      </c>
      <c r="R10" s="20">
        <v>1.0</v>
      </c>
      <c r="S10" s="20">
        <v>1.0</v>
      </c>
      <c r="T10" s="20">
        <v>1.0</v>
      </c>
      <c r="U10" s="20">
        <v>0.0</v>
      </c>
      <c r="V10" s="20">
        <v>1.0</v>
      </c>
      <c r="W10" s="16"/>
      <c r="X10" s="16"/>
      <c r="Y10" s="18"/>
      <c r="Z10" s="18"/>
      <c r="AA10" s="18"/>
      <c r="AC10" s="21"/>
      <c r="AD10" s="21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0"/>
      <c r="AZ10" s="20"/>
      <c r="BC10" s="20"/>
      <c r="BD10" s="20"/>
    </row>
    <row r="11" ht="15.75" customHeight="1">
      <c r="B11" s="19" t="s">
        <v>39</v>
      </c>
      <c r="C11" s="20">
        <v>100.0</v>
      </c>
      <c r="D11" s="20">
        <v>80.0</v>
      </c>
      <c r="E11" s="20">
        <v>100.0</v>
      </c>
      <c r="F11" s="20">
        <v>100.0</v>
      </c>
      <c r="G11" s="20">
        <v>100.0</v>
      </c>
      <c r="H11" s="20">
        <v>60.0</v>
      </c>
      <c r="I11" s="20">
        <v>40.0</v>
      </c>
      <c r="J11" s="20">
        <v>0.0</v>
      </c>
      <c r="K11" s="20">
        <v>100.0</v>
      </c>
      <c r="L11" s="20">
        <v>80.0</v>
      </c>
      <c r="M11" s="20">
        <v>40.0</v>
      </c>
      <c r="N11" s="20">
        <v>100.0</v>
      </c>
      <c r="O11" s="20">
        <v>20.0</v>
      </c>
      <c r="P11" s="20">
        <v>100.0</v>
      </c>
      <c r="Q11" s="20">
        <v>100.0</v>
      </c>
      <c r="R11" s="20">
        <v>80.0</v>
      </c>
      <c r="S11" s="20">
        <v>100.0</v>
      </c>
      <c r="T11" s="20">
        <v>100.0</v>
      </c>
      <c r="U11" s="20">
        <v>0.0</v>
      </c>
      <c r="V11" s="20">
        <v>100.0</v>
      </c>
      <c r="W11" s="16">
        <f>AVERAGE(C11:V11)</f>
        <v>75</v>
      </c>
      <c r="X11" s="16">
        <f>STDEV(C11:V11)</f>
        <v>35.46681177</v>
      </c>
      <c r="Y11" s="17">
        <f>(11/20) * 100</f>
        <v>55</v>
      </c>
      <c r="Z11" s="17"/>
      <c r="AA11" s="18"/>
      <c r="AC11" s="21"/>
      <c r="AD11" s="21">
        <f>7/20 * 100</f>
        <v>35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0"/>
      <c r="AZ11" s="20"/>
      <c r="BA11" s="17"/>
      <c r="BC11" s="20"/>
      <c r="BD11" s="20"/>
    </row>
    <row r="12" ht="15.75" customHeight="1">
      <c r="A12" s="19"/>
      <c r="B12" s="19"/>
      <c r="C12" s="20"/>
      <c r="D12" s="20"/>
      <c r="E12" s="20"/>
      <c r="F12" s="2"/>
      <c r="G12" s="20"/>
      <c r="H12" s="2"/>
      <c r="I12" s="2"/>
      <c r="J12" s="2"/>
      <c r="K12" s="2"/>
      <c r="L12" s="20"/>
      <c r="M12" s="2"/>
      <c r="N12" s="20"/>
      <c r="O12" s="20"/>
      <c r="P12" s="20"/>
      <c r="Q12" s="20"/>
      <c r="R12" s="20"/>
      <c r="S12" s="20"/>
      <c r="T12" s="20"/>
      <c r="U12" s="20"/>
      <c r="V12" s="20"/>
      <c r="W12" s="16"/>
      <c r="X12" s="16"/>
      <c r="Y12" s="17"/>
      <c r="Z12" s="17"/>
      <c r="AA12" s="18"/>
      <c r="AC12" s="21"/>
      <c r="AD12" s="21"/>
      <c r="AE12" s="22"/>
      <c r="AF12" s="22"/>
      <c r="AG12" s="22"/>
      <c r="AH12" s="2"/>
      <c r="AI12" s="22"/>
      <c r="AJ12" s="2"/>
      <c r="AK12" s="2"/>
      <c r="AL12" s="2"/>
      <c r="AM12" s="2"/>
      <c r="AN12" s="22"/>
      <c r="AO12" s="2"/>
      <c r="AP12" s="22"/>
      <c r="AQ12" s="22"/>
      <c r="AR12" s="22"/>
      <c r="AS12" s="22"/>
      <c r="AT12" s="22"/>
      <c r="AU12" s="22"/>
      <c r="AV12" s="22"/>
      <c r="AW12" s="22"/>
      <c r="AX12" s="22"/>
      <c r="AY12" s="20"/>
      <c r="AZ12" s="20"/>
      <c r="BC12" s="20"/>
      <c r="BD12" s="20"/>
    </row>
    <row r="13" ht="15.75" customHeight="1">
      <c r="A13" s="19" t="s">
        <v>40</v>
      </c>
      <c r="B13" s="19" t="s">
        <v>34</v>
      </c>
      <c r="C13" s="20">
        <v>100.0</v>
      </c>
      <c r="D13" s="20">
        <v>100.0</v>
      </c>
      <c r="E13" s="20">
        <v>100.0</v>
      </c>
      <c r="F13" s="23"/>
      <c r="G13" s="20">
        <v>100.0</v>
      </c>
      <c r="H13" s="23"/>
      <c r="I13" s="24"/>
      <c r="J13" s="24"/>
      <c r="K13" s="24"/>
      <c r="L13" s="20">
        <v>0.0</v>
      </c>
      <c r="M13" s="24"/>
      <c r="N13" s="20">
        <v>100.0</v>
      </c>
      <c r="O13" s="20">
        <v>0.0</v>
      </c>
      <c r="P13" s="20">
        <v>100.0</v>
      </c>
      <c r="Q13" s="20">
        <v>100.0</v>
      </c>
      <c r="R13" s="20">
        <v>0.0</v>
      </c>
      <c r="S13" s="20">
        <v>100.0</v>
      </c>
      <c r="T13" s="20">
        <v>100.0</v>
      </c>
      <c r="U13" s="20">
        <v>0.0</v>
      </c>
      <c r="V13" s="20">
        <v>100.0</v>
      </c>
      <c r="W13" s="16"/>
      <c r="X13" s="16"/>
      <c r="Y13" s="17"/>
      <c r="Z13" s="17"/>
      <c r="AA13" s="18"/>
      <c r="AC13" s="21"/>
      <c r="AD13" s="21"/>
      <c r="AE13" s="22"/>
      <c r="AF13" s="22"/>
      <c r="AG13" s="22"/>
      <c r="AH13" s="2"/>
      <c r="AI13" s="22"/>
      <c r="AJ13" s="2"/>
      <c r="AK13" s="2"/>
      <c r="AL13" s="2"/>
      <c r="AM13" s="2"/>
      <c r="AN13" s="22"/>
      <c r="AO13" s="2"/>
      <c r="AP13" s="22"/>
      <c r="AQ13" s="22"/>
      <c r="AR13" s="22"/>
      <c r="AS13" s="22"/>
      <c r="AT13" s="22"/>
      <c r="AU13" s="22"/>
      <c r="AV13" s="22"/>
      <c r="AW13" s="22"/>
      <c r="AX13" s="22"/>
      <c r="AY13" s="20"/>
      <c r="AZ13" s="20"/>
      <c r="BC13" s="20"/>
      <c r="BD13" s="20"/>
    </row>
    <row r="14" ht="15.75" customHeight="1">
      <c r="B14" s="19" t="s">
        <v>35</v>
      </c>
      <c r="C14" s="20">
        <v>100.0</v>
      </c>
      <c r="D14" s="20">
        <v>0.0</v>
      </c>
      <c r="E14" s="20">
        <v>100.0</v>
      </c>
      <c r="F14" s="23"/>
      <c r="G14" s="20">
        <v>100.0</v>
      </c>
      <c r="H14" s="23"/>
      <c r="I14" s="24"/>
      <c r="J14" s="24"/>
      <c r="K14" s="24"/>
      <c r="L14" s="20">
        <v>100.0</v>
      </c>
      <c r="M14" s="24"/>
      <c r="N14" s="20">
        <v>90.0</v>
      </c>
      <c r="O14" s="20">
        <v>0.0</v>
      </c>
      <c r="P14" s="20">
        <v>100.0</v>
      </c>
      <c r="Q14" s="20">
        <v>100.0</v>
      </c>
      <c r="R14" s="20">
        <v>100.0</v>
      </c>
      <c r="S14" s="20">
        <v>100.0</v>
      </c>
      <c r="T14" s="20">
        <v>100.0</v>
      </c>
      <c r="U14" s="20">
        <v>0.0</v>
      </c>
      <c r="V14" s="20">
        <v>100.0</v>
      </c>
      <c r="W14" s="16"/>
      <c r="X14" s="16"/>
      <c r="Y14" s="18"/>
      <c r="Z14" s="18"/>
      <c r="AA14" s="18"/>
      <c r="AC14" s="21"/>
      <c r="AD14" s="21"/>
      <c r="AE14" s="22"/>
      <c r="AF14" s="22"/>
      <c r="AG14" s="22"/>
      <c r="AH14" s="2"/>
      <c r="AI14" s="22"/>
      <c r="AJ14" s="2"/>
      <c r="AK14" s="2"/>
      <c r="AL14" s="2"/>
      <c r="AM14" s="2"/>
      <c r="AN14" s="22"/>
      <c r="AO14" s="2"/>
      <c r="AP14" s="22"/>
      <c r="AQ14" s="22"/>
      <c r="AR14" s="22"/>
      <c r="AS14" s="22"/>
      <c r="AT14" s="22"/>
      <c r="AU14" s="22"/>
      <c r="AV14" s="22"/>
      <c r="AW14" s="22"/>
      <c r="AX14" s="22"/>
      <c r="AY14" s="20"/>
      <c r="AZ14" s="20"/>
      <c r="BC14" s="20"/>
      <c r="BD14" s="20"/>
    </row>
    <row r="15" ht="15.75" customHeight="1">
      <c r="B15" s="19" t="s">
        <v>36</v>
      </c>
      <c r="C15" s="20">
        <v>100.0</v>
      </c>
      <c r="D15" s="20">
        <v>100.0</v>
      </c>
      <c r="E15" s="20">
        <v>100.0</v>
      </c>
      <c r="F15" s="23"/>
      <c r="G15" s="20">
        <v>100.0</v>
      </c>
      <c r="H15" s="23"/>
      <c r="I15" s="24"/>
      <c r="J15" s="24"/>
      <c r="K15" s="24"/>
      <c r="L15" s="20" t="s">
        <v>41</v>
      </c>
      <c r="M15" s="24"/>
      <c r="N15" s="20">
        <v>100.0</v>
      </c>
      <c r="O15" s="20">
        <v>0.0</v>
      </c>
      <c r="P15" s="20">
        <v>100.0</v>
      </c>
      <c r="Q15" s="20">
        <v>100.0</v>
      </c>
      <c r="R15" s="20">
        <v>100.0</v>
      </c>
      <c r="S15" s="20">
        <v>100.0</v>
      </c>
      <c r="T15" s="20">
        <v>100.0</v>
      </c>
      <c r="U15" s="20">
        <v>0.0</v>
      </c>
      <c r="V15" s="20">
        <v>100.0</v>
      </c>
      <c r="W15" s="16"/>
      <c r="X15" s="16"/>
      <c r="Y15" s="18"/>
      <c r="Z15" s="18"/>
      <c r="AA15" s="18"/>
      <c r="AC15" s="21"/>
      <c r="AD15" s="21"/>
      <c r="AE15" s="22"/>
      <c r="AF15" s="22"/>
      <c r="AG15" s="22"/>
      <c r="AH15" s="2"/>
      <c r="AI15" s="22"/>
      <c r="AJ15" s="2"/>
      <c r="AK15" s="2"/>
      <c r="AL15" s="2"/>
      <c r="AM15" s="2"/>
      <c r="AN15" s="22"/>
      <c r="AO15" s="2"/>
      <c r="AP15" s="22"/>
      <c r="AQ15" s="22"/>
      <c r="AR15" s="22"/>
      <c r="AS15" s="22"/>
      <c r="AT15" s="22"/>
      <c r="AU15" s="22"/>
      <c r="AV15" s="22"/>
      <c r="AW15" s="22"/>
      <c r="AX15" s="22"/>
      <c r="AY15" s="20"/>
      <c r="AZ15" s="20"/>
      <c r="BC15" s="20"/>
      <c r="BD15" s="20"/>
    </row>
    <row r="16" ht="15.75" customHeight="1">
      <c r="B16" s="19" t="s">
        <v>37</v>
      </c>
      <c r="C16" s="20">
        <v>100.0</v>
      </c>
      <c r="D16" s="20">
        <v>100.0</v>
      </c>
      <c r="E16" s="20">
        <v>100.0</v>
      </c>
      <c r="F16" s="23"/>
      <c r="G16" s="20">
        <v>100.0</v>
      </c>
      <c r="H16" s="23"/>
      <c r="I16" s="24"/>
      <c r="J16" s="24"/>
      <c r="K16" s="24"/>
      <c r="L16" s="20" t="s">
        <v>41</v>
      </c>
      <c r="M16" s="24"/>
      <c r="N16" s="20">
        <v>100.0</v>
      </c>
      <c r="O16" s="20">
        <v>92.0</v>
      </c>
      <c r="P16" s="20">
        <v>100.0</v>
      </c>
      <c r="Q16" s="20">
        <v>100.0</v>
      </c>
      <c r="R16" s="20">
        <v>100.0</v>
      </c>
      <c r="S16" s="20">
        <v>100.0</v>
      </c>
      <c r="T16" s="20">
        <v>100.0</v>
      </c>
      <c r="U16" s="20">
        <v>0.0</v>
      </c>
      <c r="V16" s="20">
        <v>100.0</v>
      </c>
      <c r="W16" s="16"/>
      <c r="X16" s="16"/>
      <c r="Y16" s="18"/>
      <c r="Z16" s="18"/>
      <c r="AA16" s="18"/>
      <c r="AC16" s="21"/>
      <c r="AD16" s="21"/>
      <c r="AE16" s="22"/>
      <c r="AF16" s="22"/>
      <c r="AG16" s="22"/>
      <c r="AH16" s="2"/>
      <c r="AI16" s="22"/>
      <c r="AJ16" s="2"/>
      <c r="AK16" s="2"/>
      <c r="AL16" s="2"/>
      <c r="AM16" s="2"/>
      <c r="AN16" s="22"/>
      <c r="AO16" s="2"/>
      <c r="AP16" s="22"/>
      <c r="AQ16" s="22"/>
      <c r="AR16" s="22"/>
      <c r="AS16" s="22"/>
      <c r="AT16" s="22"/>
      <c r="AU16" s="22"/>
      <c r="AV16" s="22"/>
      <c r="AW16" s="22"/>
      <c r="AX16" s="22"/>
      <c r="AY16" s="20"/>
      <c r="AZ16" s="20"/>
      <c r="BC16" s="20"/>
      <c r="BD16" s="20"/>
    </row>
    <row r="17" ht="15.75" customHeight="1">
      <c r="B17" s="19" t="s">
        <v>38</v>
      </c>
      <c r="C17" s="20">
        <v>100.0</v>
      </c>
      <c r="D17" s="20">
        <v>100.0</v>
      </c>
      <c r="E17" s="20">
        <v>100.0</v>
      </c>
      <c r="F17" s="23"/>
      <c r="G17" s="20">
        <v>100.0</v>
      </c>
      <c r="H17" s="23"/>
      <c r="I17" s="24"/>
      <c r="J17" s="24"/>
      <c r="K17" s="24"/>
      <c r="L17" s="20">
        <v>100.0</v>
      </c>
      <c r="M17" s="24"/>
      <c r="N17" s="20">
        <v>100.0</v>
      </c>
      <c r="O17" s="20">
        <v>0.0</v>
      </c>
      <c r="P17" s="20">
        <v>100.0</v>
      </c>
      <c r="Q17" s="20">
        <v>100.0</v>
      </c>
      <c r="R17" s="20">
        <v>100.0</v>
      </c>
      <c r="S17" s="20">
        <v>100.0</v>
      </c>
      <c r="T17" s="20">
        <v>100.0</v>
      </c>
      <c r="U17" s="20">
        <v>0.0</v>
      </c>
      <c r="V17" s="20">
        <v>100.0</v>
      </c>
      <c r="W17" s="16"/>
      <c r="X17" s="16"/>
      <c r="Y17" s="18"/>
      <c r="Z17" s="18"/>
      <c r="AA17" s="18"/>
      <c r="AC17" s="21"/>
      <c r="AD17" s="21"/>
      <c r="AE17" s="22"/>
      <c r="AF17" s="22"/>
      <c r="AG17" s="22"/>
      <c r="AH17" s="2"/>
      <c r="AI17" s="22"/>
      <c r="AJ17" s="2"/>
      <c r="AK17" s="2"/>
      <c r="AL17" s="2"/>
      <c r="AM17" s="2"/>
      <c r="AN17" s="22"/>
      <c r="AO17" s="2"/>
      <c r="AP17" s="22"/>
      <c r="AQ17" s="22"/>
      <c r="AR17" s="22"/>
      <c r="AS17" s="22"/>
      <c r="AT17" s="22"/>
      <c r="AU17" s="22"/>
      <c r="AV17" s="22"/>
      <c r="AW17" s="22"/>
      <c r="AX17" s="22"/>
      <c r="AY17" s="20"/>
      <c r="AZ17" s="20"/>
      <c r="BC17" s="20"/>
      <c r="BD17" s="20"/>
    </row>
    <row r="18" ht="15.75" customHeight="1">
      <c r="B18" s="25" t="s">
        <v>42</v>
      </c>
      <c r="C18" s="20">
        <f>AVERAGE(C13:C17)</f>
        <v>100</v>
      </c>
      <c r="D18" s="20">
        <f>(100+0+100+100+100)/5</f>
        <v>80</v>
      </c>
      <c r="E18" s="20">
        <f>AVERAGE(E13:E17)</f>
        <v>100</v>
      </c>
      <c r="F18" s="26" t="s">
        <v>43</v>
      </c>
      <c r="G18" s="20">
        <f>AVERAGE(G13:G17)</f>
        <v>100</v>
      </c>
      <c r="H18" s="26" t="s">
        <v>43</v>
      </c>
      <c r="I18" s="24" t="s">
        <v>44</v>
      </c>
      <c r="J18" s="24" t="s">
        <v>44</v>
      </c>
      <c r="K18" s="24" t="s">
        <v>44</v>
      </c>
      <c r="L18" s="20">
        <f>AVERAGE(L13:L17)</f>
        <v>66.66666667</v>
      </c>
      <c r="M18" s="24" t="s">
        <v>45</v>
      </c>
      <c r="N18" s="20">
        <f>AVERAGE(N13:N17)</f>
        <v>98</v>
      </c>
      <c r="O18" s="20">
        <f>(0+0+0+92+0)/5</f>
        <v>18.4</v>
      </c>
      <c r="P18" s="20">
        <f t="shared" ref="P18:V18" si="1">AVERAGE(P13:P17)</f>
        <v>100</v>
      </c>
      <c r="Q18" s="20">
        <f t="shared" si="1"/>
        <v>100</v>
      </c>
      <c r="R18" s="20">
        <f t="shared" si="1"/>
        <v>80</v>
      </c>
      <c r="S18" s="20">
        <f t="shared" si="1"/>
        <v>100</v>
      </c>
      <c r="T18" s="20">
        <f t="shared" si="1"/>
        <v>100</v>
      </c>
      <c r="U18" s="20">
        <f t="shared" si="1"/>
        <v>0</v>
      </c>
      <c r="V18" s="20">
        <f t="shared" si="1"/>
        <v>100</v>
      </c>
      <c r="W18" s="16">
        <f>AVERAGE(C18:E18,G18,L18,N18:V18)</f>
        <v>81.64761905</v>
      </c>
      <c r="X18" s="16">
        <f>STDEV(C18:E18,G18,L18,N18:V18)</f>
        <v>32.65004735</v>
      </c>
      <c r="Y18" s="17"/>
      <c r="Z18" s="17">
        <f>(8/14) * 100</f>
        <v>57.14285714</v>
      </c>
      <c r="AA18" s="18"/>
      <c r="AC18" s="21">
        <f>(8/14) * 100</f>
        <v>57.14285714</v>
      </c>
      <c r="AD18" s="27"/>
      <c r="AE18" s="22"/>
      <c r="AF18" s="22"/>
      <c r="AG18" s="28">
        <f>5/14</f>
        <v>0.3571428571</v>
      </c>
      <c r="AJ18" s="29"/>
      <c r="AK18" s="2"/>
      <c r="AL18" s="2"/>
      <c r="AM18" s="2"/>
      <c r="AN18" s="22"/>
      <c r="AO18" s="2"/>
      <c r="AP18" s="22"/>
      <c r="AQ18" s="22"/>
      <c r="AR18" s="22"/>
      <c r="AS18" s="22"/>
      <c r="AT18" s="22"/>
      <c r="AU18" s="22"/>
      <c r="AV18" s="22"/>
      <c r="AW18" s="22"/>
      <c r="AX18" s="22"/>
      <c r="AY18" s="20"/>
      <c r="AZ18" s="20"/>
      <c r="BA18" s="17"/>
      <c r="BC18" s="20"/>
      <c r="BD18" s="20"/>
    </row>
    <row r="19" ht="15.75" customHeight="1">
      <c r="W19" s="18"/>
      <c r="X19" s="18"/>
      <c r="Y19" s="17"/>
      <c r="Z19" s="17"/>
      <c r="AA19" s="18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BA19" s="17"/>
    </row>
    <row r="20" ht="15.75" customHeight="1">
      <c r="A20" s="31" t="s">
        <v>46</v>
      </c>
      <c r="B20" s="19" t="s">
        <v>34</v>
      </c>
      <c r="C20" s="20">
        <f t="shared" ref="C20:V20" si="2">(C31/C37)*100</f>
        <v>0.7487041659</v>
      </c>
      <c r="D20" s="20">
        <f t="shared" si="2"/>
        <v>43.40396446</v>
      </c>
      <c r="E20" s="20">
        <f t="shared" si="2"/>
        <v>19.66537967</v>
      </c>
      <c r="F20" s="20">
        <f t="shared" si="2"/>
        <v>22.37312366</v>
      </c>
      <c r="G20" s="20">
        <f t="shared" si="2"/>
        <v>10.97280967</v>
      </c>
      <c r="H20" s="20">
        <f t="shared" si="2"/>
        <v>20.40523381</v>
      </c>
      <c r="I20" s="20">
        <f t="shared" si="2"/>
        <v>28.48588537</v>
      </c>
      <c r="J20" s="20">
        <f t="shared" si="2"/>
        <v>18.77729258</v>
      </c>
      <c r="K20" s="20">
        <f t="shared" si="2"/>
        <v>8.616794082</v>
      </c>
      <c r="L20" s="20">
        <f t="shared" si="2"/>
        <v>28.73884672</v>
      </c>
      <c r="M20" s="20">
        <f t="shared" si="2"/>
        <v>4.904728299</v>
      </c>
      <c r="N20" s="20">
        <f t="shared" si="2"/>
        <v>20.73463783</v>
      </c>
      <c r="O20" s="20">
        <f t="shared" si="2"/>
        <v>9.462151394</v>
      </c>
      <c r="P20" s="20">
        <f t="shared" si="2"/>
        <v>5.894291755</v>
      </c>
      <c r="Q20" s="20">
        <f t="shared" si="2"/>
        <v>10.61571125</v>
      </c>
      <c r="R20" s="20">
        <f t="shared" si="2"/>
        <v>4.024331115</v>
      </c>
      <c r="S20" s="20">
        <f t="shared" si="2"/>
        <v>13.74823197</v>
      </c>
      <c r="T20" s="20">
        <f t="shared" si="2"/>
        <v>13.26097216</v>
      </c>
      <c r="U20" s="20">
        <f t="shared" si="2"/>
        <v>25.48518303</v>
      </c>
      <c r="V20" s="20">
        <f t="shared" si="2"/>
        <v>3.718459495</v>
      </c>
      <c r="W20" s="18"/>
      <c r="X20" s="18"/>
      <c r="Y20" s="17"/>
      <c r="Z20" s="17"/>
      <c r="AA20" s="18"/>
      <c r="AC20" s="29"/>
      <c r="AD20" s="21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BC20" s="20"/>
      <c r="BD20" s="20"/>
    </row>
    <row r="21" ht="15.75" customHeight="1">
      <c r="B21" s="19" t="s">
        <v>35</v>
      </c>
      <c r="C21" s="20">
        <f t="shared" ref="C21:V21" si="3">(C32/C37)*100</f>
        <v>2.05413707</v>
      </c>
      <c r="D21" s="20">
        <f t="shared" si="3"/>
        <v>26.79425837</v>
      </c>
      <c r="E21" s="20">
        <f t="shared" si="3"/>
        <v>19.74259974</v>
      </c>
      <c r="F21" s="20">
        <f t="shared" si="3"/>
        <v>22.2301644</v>
      </c>
      <c r="G21" s="20">
        <f t="shared" si="3"/>
        <v>53.65558912</v>
      </c>
      <c r="H21" s="20">
        <f t="shared" si="3"/>
        <v>13.21150555</v>
      </c>
      <c r="I21" s="20">
        <f t="shared" si="3"/>
        <v>22.73548142</v>
      </c>
      <c r="J21" s="20">
        <f t="shared" si="3"/>
        <v>14.72806669</v>
      </c>
      <c r="K21" s="20">
        <f t="shared" si="3"/>
        <v>8.752979046</v>
      </c>
      <c r="L21" s="20">
        <f t="shared" si="3"/>
        <v>21.53415901</v>
      </c>
      <c r="M21" s="20">
        <f t="shared" si="3"/>
        <v>4.474241355</v>
      </c>
      <c r="N21" s="20">
        <f t="shared" si="3"/>
        <v>18.22863028</v>
      </c>
      <c r="O21" s="20">
        <f t="shared" si="3"/>
        <v>12.88375908</v>
      </c>
      <c r="P21" s="20">
        <f t="shared" si="3"/>
        <v>6.283298097</v>
      </c>
      <c r="Q21" s="20">
        <f t="shared" si="3"/>
        <v>8.598726115</v>
      </c>
      <c r="R21" s="20">
        <f t="shared" si="3"/>
        <v>3.689337506</v>
      </c>
      <c r="S21" s="20">
        <f t="shared" si="3"/>
        <v>14.41301273</v>
      </c>
      <c r="T21" s="20">
        <f t="shared" si="3"/>
        <v>16.68239736</v>
      </c>
      <c r="U21" s="20">
        <f t="shared" si="3"/>
        <v>24.59035445</v>
      </c>
      <c r="V21" s="20">
        <f t="shared" si="3"/>
        <v>10.16674045</v>
      </c>
      <c r="W21" s="18"/>
      <c r="X21" s="18"/>
      <c r="Y21" s="18"/>
      <c r="Z21" s="18"/>
      <c r="AA21" s="18"/>
      <c r="AC21" s="29"/>
      <c r="AD21" s="21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BC21" s="20"/>
      <c r="BD21" s="20"/>
    </row>
    <row r="22" ht="15.75" customHeight="1">
      <c r="B22" s="19" t="s">
        <v>36</v>
      </c>
      <c r="C22" s="20">
        <f t="shared" ref="C22:V22" si="4">(C33/C37)*100</f>
        <v>0.7487041659</v>
      </c>
      <c r="D22" s="20">
        <f t="shared" si="4"/>
        <v>63.84142174</v>
      </c>
      <c r="E22" s="20">
        <f t="shared" si="4"/>
        <v>18.0952381</v>
      </c>
      <c r="F22" s="20">
        <f t="shared" si="4"/>
        <v>22.40886347</v>
      </c>
      <c r="G22" s="20">
        <f t="shared" si="4"/>
        <v>39.66163142</v>
      </c>
      <c r="H22" s="20">
        <f t="shared" si="4"/>
        <v>14.87881632</v>
      </c>
      <c r="I22" s="20">
        <f t="shared" si="4"/>
        <v>9.666381523</v>
      </c>
      <c r="J22" s="20">
        <f t="shared" si="4"/>
        <v>18.69789599</v>
      </c>
      <c r="K22" s="20">
        <f t="shared" si="4"/>
        <v>6.970194064</v>
      </c>
      <c r="L22" s="20">
        <f t="shared" si="4"/>
        <v>18.04501265</v>
      </c>
      <c r="M22" s="20">
        <f t="shared" si="4"/>
        <v>4.495412844</v>
      </c>
      <c r="N22" s="20">
        <f t="shared" si="4"/>
        <v>22.00480604</v>
      </c>
      <c r="O22" s="20">
        <f t="shared" si="4"/>
        <v>10.35270682</v>
      </c>
      <c r="P22" s="20">
        <f t="shared" si="4"/>
        <v>5.945031712</v>
      </c>
      <c r="Q22" s="20">
        <f t="shared" si="4"/>
        <v>8.81104034</v>
      </c>
      <c r="R22" s="20">
        <f t="shared" si="4"/>
        <v>3.671706263</v>
      </c>
      <c r="S22" s="20">
        <f t="shared" si="4"/>
        <v>17.13578501</v>
      </c>
      <c r="T22" s="20">
        <f t="shared" si="4"/>
        <v>16.68239736</v>
      </c>
      <c r="U22" s="20">
        <f t="shared" si="4"/>
        <v>2.545031958</v>
      </c>
      <c r="V22" s="20">
        <f t="shared" si="4"/>
        <v>9.827357238</v>
      </c>
      <c r="W22" s="18"/>
      <c r="X22" s="18"/>
      <c r="Y22" s="18"/>
      <c r="Z22" s="18"/>
      <c r="AA22" s="18"/>
      <c r="AC22" s="29"/>
      <c r="AD22" s="21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BC22" s="20"/>
      <c r="BD22" s="20"/>
    </row>
    <row r="23" ht="15.75" customHeight="1">
      <c r="B23" s="19" t="s">
        <v>37</v>
      </c>
      <c r="C23" s="20">
        <f t="shared" ref="C23:V23" si="5">(C34/C37)*100</f>
        <v>1.305432905</v>
      </c>
      <c r="D23" s="20">
        <f t="shared" si="5"/>
        <v>52.08475735</v>
      </c>
      <c r="E23" s="20">
        <f t="shared" si="5"/>
        <v>22.85714286</v>
      </c>
      <c r="F23" s="20">
        <f t="shared" si="5"/>
        <v>23.37383846</v>
      </c>
      <c r="G23" s="20">
        <f t="shared" si="5"/>
        <v>58.59818731</v>
      </c>
      <c r="H23" s="20">
        <f t="shared" si="5"/>
        <v>18.53364986</v>
      </c>
      <c r="I23" s="20">
        <f t="shared" si="5"/>
        <v>14.47581028</v>
      </c>
      <c r="J23" s="20">
        <f t="shared" si="5"/>
        <v>24.69233823</v>
      </c>
      <c r="K23" s="20">
        <f t="shared" si="5"/>
        <v>7.908013247</v>
      </c>
      <c r="L23" s="20">
        <f t="shared" si="5"/>
        <v>25.07657478</v>
      </c>
      <c r="M23" s="20">
        <f t="shared" si="5"/>
        <v>4.855328158</v>
      </c>
      <c r="N23" s="20">
        <f t="shared" si="5"/>
        <v>20.88911775</v>
      </c>
      <c r="O23" s="20">
        <f t="shared" si="5"/>
        <v>6.415514413</v>
      </c>
      <c r="P23" s="20">
        <f t="shared" si="5"/>
        <v>5.344608879</v>
      </c>
      <c r="Q23" s="20">
        <f t="shared" si="5"/>
        <v>8.81104034</v>
      </c>
      <c r="R23" s="20">
        <f t="shared" si="5"/>
        <v>3.689337506</v>
      </c>
      <c r="S23" s="20">
        <f t="shared" si="5"/>
        <v>26.1669024</v>
      </c>
      <c r="T23" s="20">
        <f t="shared" si="5"/>
        <v>13.37895234</v>
      </c>
      <c r="U23" s="20">
        <f t="shared" si="5"/>
        <v>8.123184195</v>
      </c>
      <c r="V23" s="20">
        <f t="shared" si="5"/>
        <v>5.341596577</v>
      </c>
      <c r="W23" s="18"/>
      <c r="X23" s="18"/>
      <c r="Y23" s="18"/>
      <c r="Z23" s="18"/>
      <c r="AA23" s="18"/>
      <c r="AC23" s="29"/>
      <c r="AD23" s="21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BC23" s="20"/>
      <c r="BD23" s="20"/>
    </row>
    <row r="24" ht="15.75" customHeight="1">
      <c r="B24" s="19" t="s">
        <v>38</v>
      </c>
      <c r="C24" s="20">
        <f t="shared" ref="C24:V24" si="6">(C35/C37)*100</f>
        <v>1.401420618</v>
      </c>
      <c r="D24" s="20">
        <f t="shared" si="6"/>
        <v>61.03896104</v>
      </c>
      <c r="E24" s="20">
        <f t="shared" si="6"/>
        <v>23.37194337</v>
      </c>
      <c r="F24" s="20">
        <f t="shared" si="6"/>
        <v>22.2301644</v>
      </c>
      <c r="G24" s="20">
        <f t="shared" si="6"/>
        <v>51.86706949</v>
      </c>
      <c r="H24" s="20">
        <f t="shared" si="6"/>
        <v>11.42273505</v>
      </c>
      <c r="I24" s="20">
        <f t="shared" si="6"/>
        <v>19.10464785</v>
      </c>
      <c r="J24" s="20">
        <f t="shared" si="6"/>
        <v>20.04763795</v>
      </c>
      <c r="K24" s="20">
        <f t="shared" si="6"/>
        <v>6.81234331</v>
      </c>
      <c r="L24" s="20">
        <f t="shared" si="6"/>
        <v>15.26168598</v>
      </c>
      <c r="M24" s="20">
        <f t="shared" si="6"/>
        <v>6.887791108</v>
      </c>
      <c r="N24" s="20">
        <f t="shared" si="6"/>
        <v>14.33230347</v>
      </c>
      <c r="O24" s="20">
        <f t="shared" si="6"/>
        <v>10.20037497</v>
      </c>
      <c r="P24" s="20">
        <f t="shared" si="6"/>
        <v>5.894291755</v>
      </c>
      <c r="Q24" s="20">
        <f t="shared" si="6"/>
        <v>8.598726115</v>
      </c>
      <c r="R24" s="20">
        <f t="shared" si="6"/>
        <v>5.055758805</v>
      </c>
      <c r="S24" s="20">
        <f t="shared" si="6"/>
        <v>13.57142857</v>
      </c>
      <c r="T24" s="20">
        <f t="shared" si="6"/>
        <v>17.67343086</v>
      </c>
      <c r="U24" s="20">
        <f t="shared" si="6"/>
        <v>21.2202208</v>
      </c>
      <c r="V24" s="20">
        <f t="shared" si="6"/>
        <v>8.897742364</v>
      </c>
      <c r="W24" s="18"/>
      <c r="X24" s="18"/>
      <c r="Y24" s="18"/>
      <c r="Z24" s="18"/>
      <c r="AA24" s="18"/>
      <c r="AC24" s="29"/>
      <c r="AD24" s="21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BC24" s="20"/>
      <c r="BD24" s="20"/>
    </row>
    <row r="25" ht="15.75" customHeight="1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18"/>
      <c r="X25" s="18"/>
      <c r="Y25" s="18"/>
      <c r="Z25" s="18"/>
      <c r="AA25" s="18"/>
      <c r="AC25" s="29"/>
      <c r="AD25" s="30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BC25" s="3"/>
      <c r="BD25" s="3"/>
    </row>
    <row r="26" ht="15.75" customHeight="1">
      <c r="B26" s="32" t="s">
        <v>47</v>
      </c>
      <c r="C26" s="3">
        <f t="shared" ref="C26:V26" si="7">MAX(C20:C24)</f>
        <v>2.05413707</v>
      </c>
      <c r="D26" s="3">
        <f t="shared" si="7"/>
        <v>63.84142174</v>
      </c>
      <c r="E26" s="3">
        <f t="shared" si="7"/>
        <v>23.37194337</v>
      </c>
      <c r="F26" s="3">
        <f t="shared" si="7"/>
        <v>23.37383846</v>
      </c>
      <c r="G26" s="3">
        <f t="shared" si="7"/>
        <v>58.59818731</v>
      </c>
      <c r="H26" s="3">
        <f t="shared" si="7"/>
        <v>20.40523381</v>
      </c>
      <c r="I26" s="3">
        <f t="shared" si="7"/>
        <v>28.48588537</v>
      </c>
      <c r="J26" s="3">
        <f t="shared" si="7"/>
        <v>24.69233823</v>
      </c>
      <c r="K26" s="3">
        <f t="shared" si="7"/>
        <v>8.752979046</v>
      </c>
      <c r="L26" s="3">
        <f t="shared" si="7"/>
        <v>28.73884672</v>
      </c>
      <c r="M26" s="3">
        <f t="shared" si="7"/>
        <v>6.887791108</v>
      </c>
      <c r="N26" s="3">
        <f t="shared" si="7"/>
        <v>22.00480604</v>
      </c>
      <c r="O26" s="3">
        <f t="shared" si="7"/>
        <v>12.88375908</v>
      </c>
      <c r="P26" s="3">
        <f t="shared" si="7"/>
        <v>6.283298097</v>
      </c>
      <c r="Q26" s="3">
        <f t="shared" si="7"/>
        <v>10.61571125</v>
      </c>
      <c r="R26" s="3">
        <f t="shared" si="7"/>
        <v>5.055758805</v>
      </c>
      <c r="S26" s="3">
        <f t="shared" si="7"/>
        <v>26.1669024</v>
      </c>
      <c r="T26" s="3">
        <f t="shared" si="7"/>
        <v>17.67343086</v>
      </c>
      <c r="U26" s="3">
        <f t="shared" si="7"/>
        <v>25.48518303</v>
      </c>
      <c r="V26" s="3">
        <f t="shared" si="7"/>
        <v>10.16674045</v>
      </c>
      <c r="W26" s="18"/>
      <c r="X26" s="18"/>
      <c r="Y26" s="18"/>
      <c r="Z26" s="18"/>
      <c r="AA26" s="18"/>
      <c r="AC26" s="29"/>
      <c r="AD26" s="30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BC26" s="3"/>
      <c r="BD26" s="3"/>
    </row>
    <row r="27" ht="15.75" customHeight="1">
      <c r="B27" s="32" t="s">
        <v>48</v>
      </c>
      <c r="C27" s="32">
        <f t="shared" ref="C27:V27" si="8">min(C20:C24)</f>
        <v>0.7487041659</v>
      </c>
      <c r="D27" s="32">
        <f t="shared" si="8"/>
        <v>26.79425837</v>
      </c>
      <c r="E27" s="32">
        <f t="shared" si="8"/>
        <v>18.0952381</v>
      </c>
      <c r="F27" s="32">
        <f t="shared" si="8"/>
        <v>22.2301644</v>
      </c>
      <c r="G27" s="32">
        <f t="shared" si="8"/>
        <v>10.97280967</v>
      </c>
      <c r="H27" s="32">
        <f t="shared" si="8"/>
        <v>11.42273505</v>
      </c>
      <c r="I27" s="32">
        <f t="shared" si="8"/>
        <v>9.666381523</v>
      </c>
      <c r="J27" s="32">
        <f t="shared" si="8"/>
        <v>14.72806669</v>
      </c>
      <c r="K27" s="32">
        <f t="shared" si="8"/>
        <v>6.81234331</v>
      </c>
      <c r="L27" s="32">
        <f t="shared" si="8"/>
        <v>15.26168598</v>
      </c>
      <c r="M27" s="32">
        <f t="shared" si="8"/>
        <v>4.474241355</v>
      </c>
      <c r="N27" s="32">
        <f t="shared" si="8"/>
        <v>14.33230347</v>
      </c>
      <c r="O27" s="32">
        <f t="shared" si="8"/>
        <v>6.415514413</v>
      </c>
      <c r="P27" s="32">
        <f t="shared" si="8"/>
        <v>5.344608879</v>
      </c>
      <c r="Q27" s="32">
        <f t="shared" si="8"/>
        <v>8.598726115</v>
      </c>
      <c r="R27" s="32">
        <f t="shared" si="8"/>
        <v>3.671706263</v>
      </c>
      <c r="S27" s="32">
        <f t="shared" si="8"/>
        <v>13.57142857</v>
      </c>
      <c r="T27" s="32">
        <f t="shared" si="8"/>
        <v>13.26097216</v>
      </c>
      <c r="U27" s="32">
        <f t="shared" si="8"/>
        <v>2.545031958</v>
      </c>
      <c r="V27" s="32">
        <f t="shared" si="8"/>
        <v>3.718459495</v>
      </c>
      <c r="W27" s="18"/>
      <c r="X27" s="18"/>
      <c r="Y27" s="18"/>
      <c r="Z27" s="18"/>
      <c r="AA27" s="18"/>
      <c r="AC27" s="29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</row>
    <row r="28" ht="15.75" customHeight="1">
      <c r="B28" s="32" t="s">
        <v>49</v>
      </c>
      <c r="C28" s="3">
        <f t="shared" ref="C28:V28" si="9">AVERAGE(C20:C24)</f>
        <v>1.251679785</v>
      </c>
      <c r="D28" s="3">
        <f t="shared" si="9"/>
        <v>49.43267259</v>
      </c>
      <c r="E28" s="3">
        <f t="shared" si="9"/>
        <v>20.74646075</v>
      </c>
      <c r="F28" s="3">
        <f t="shared" si="9"/>
        <v>22.52323088</v>
      </c>
      <c r="G28" s="3">
        <f t="shared" si="9"/>
        <v>42.9510574</v>
      </c>
      <c r="H28" s="3">
        <f t="shared" si="9"/>
        <v>15.69038812</v>
      </c>
      <c r="I28" s="3">
        <f t="shared" si="9"/>
        <v>18.89364129</v>
      </c>
      <c r="J28" s="3">
        <f t="shared" si="9"/>
        <v>19.38864629</v>
      </c>
      <c r="K28" s="3">
        <f t="shared" si="9"/>
        <v>7.81206475</v>
      </c>
      <c r="L28" s="3">
        <f t="shared" si="9"/>
        <v>21.73125583</v>
      </c>
      <c r="M28" s="3">
        <f t="shared" si="9"/>
        <v>5.123500353</v>
      </c>
      <c r="N28" s="3">
        <f t="shared" si="9"/>
        <v>19.23789907</v>
      </c>
      <c r="O28" s="3">
        <f t="shared" si="9"/>
        <v>9.862901336</v>
      </c>
      <c r="P28" s="3">
        <f t="shared" si="9"/>
        <v>5.87230444</v>
      </c>
      <c r="Q28" s="3">
        <f t="shared" si="9"/>
        <v>9.087048832</v>
      </c>
      <c r="R28" s="3">
        <f t="shared" si="9"/>
        <v>4.026094239</v>
      </c>
      <c r="S28" s="3">
        <f t="shared" si="9"/>
        <v>17.00707214</v>
      </c>
      <c r="T28" s="3">
        <f t="shared" si="9"/>
        <v>15.53563001</v>
      </c>
      <c r="U28" s="3">
        <f t="shared" si="9"/>
        <v>16.39279489</v>
      </c>
      <c r="V28" s="3">
        <f t="shared" si="9"/>
        <v>7.590379224</v>
      </c>
      <c r="W28" s="17">
        <f t="shared" ref="W28:W29" si="11">AVERAGE(C28:V28)</f>
        <v>16.50783611</v>
      </c>
      <c r="X28" s="17">
        <f t="shared" ref="X28:X29" si="12">STDEV(C28:V28)</f>
        <v>12.0823199</v>
      </c>
      <c r="Y28" s="17"/>
      <c r="Z28" s="17"/>
      <c r="AA28" s="18">
        <f>100-W28</f>
        <v>83.49216389</v>
      </c>
      <c r="AC28" s="29"/>
      <c r="AD28" s="30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32" t="str">
        <f t="shared" ref="AY28:AY29" si="13">AVERAGE(AE28:AX28)</f>
        <v>#DIV/0!</v>
      </c>
      <c r="AZ28" s="32" t="str">
        <f t="shared" ref="AZ28:AZ29" si="14">STDEV(AE28:AX28)</f>
        <v>#DIV/0!</v>
      </c>
      <c r="BA28" s="17" t="str">
        <f>100-AY28</f>
        <v>#DIV/0!</v>
      </c>
      <c r="BC28" s="3"/>
      <c r="BD28" s="3"/>
    </row>
    <row r="29" ht="15.75" customHeight="1">
      <c r="B29" s="32" t="s">
        <v>50</v>
      </c>
      <c r="C29" s="3">
        <f t="shared" ref="C29:V29" si="10">STDEV(C20:C24)</f>
        <v>0.5420374426</v>
      </c>
      <c r="D29" s="3">
        <f t="shared" si="10"/>
        <v>14.98494792</v>
      </c>
      <c r="E29" s="3">
        <f t="shared" si="10"/>
        <v>2.266803518</v>
      </c>
      <c r="F29" s="3">
        <f t="shared" si="10"/>
        <v>0.4824213017</v>
      </c>
      <c r="G29" s="3">
        <f t="shared" si="10"/>
        <v>19.18556486</v>
      </c>
      <c r="H29" s="3">
        <f t="shared" si="10"/>
        <v>3.719216232</v>
      </c>
      <c r="I29" s="3">
        <f t="shared" si="10"/>
        <v>7.271089318</v>
      </c>
      <c r="J29" s="3">
        <f t="shared" si="10"/>
        <v>3.575447864</v>
      </c>
      <c r="K29" s="3">
        <f t="shared" si="10"/>
        <v>0.9014300216</v>
      </c>
      <c r="L29" s="3">
        <f t="shared" si="10"/>
        <v>5.380057131</v>
      </c>
      <c r="M29" s="3">
        <f t="shared" si="10"/>
        <v>1.006048032</v>
      </c>
      <c r="N29" s="3">
        <f t="shared" si="10"/>
        <v>3.070261224</v>
      </c>
      <c r="O29" s="3">
        <f t="shared" si="10"/>
        <v>2.319722855</v>
      </c>
      <c r="P29" s="3">
        <f t="shared" si="10"/>
        <v>0.3367619824</v>
      </c>
      <c r="Q29" s="3">
        <f t="shared" si="10"/>
        <v>0.8611167639</v>
      </c>
      <c r="R29" s="3">
        <f t="shared" si="10"/>
        <v>0.5942670397</v>
      </c>
      <c r="S29" s="3">
        <f t="shared" si="10"/>
        <v>5.316763294</v>
      </c>
      <c r="T29" s="3">
        <f t="shared" si="10"/>
        <v>2.063108706</v>
      </c>
      <c r="U29" s="3">
        <f t="shared" si="10"/>
        <v>10.40820043</v>
      </c>
      <c r="V29" s="3">
        <f t="shared" si="10"/>
        <v>2.889623329</v>
      </c>
      <c r="W29" s="17">
        <f t="shared" si="11"/>
        <v>4.358744464</v>
      </c>
      <c r="X29" s="17">
        <f t="shared" si="12"/>
        <v>5.097997241</v>
      </c>
      <c r="Y29" s="18"/>
      <c r="Z29" s="18"/>
      <c r="AA29" s="18"/>
      <c r="AC29" s="29"/>
      <c r="AD29" s="30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32" t="str">
        <f t="shared" si="13"/>
        <v>#DIV/0!</v>
      </c>
      <c r="AZ29" s="32" t="str">
        <f t="shared" si="14"/>
        <v>#DIV/0!</v>
      </c>
      <c r="BC29" s="3"/>
      <c r="BD29" s="3"/>
    </row>
    <row r="30" ht="15.75" customHeight="1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18"/>
      <c r="X30" s="18"/>
      <c r="Y30" s="18"/>
      <c r="Z30" s="18"/>
      <c r="AA30" s="18"/>
      <c r="AC30" s="30"/>
      <c r="AD30" s="30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BC30" s="3"/>
      <c r="BD30" s="3"/>
    </row>
    <row r="31" ht="15.75" customHeight="1">
      <c r="A31" s="31" t="s">
        <v>51</v>
      </c>
      <c r="B31" s="19" t="s">
        <v>34</v>
      </c>
      <c r="C31" s="20">
        <v>39.0</v>
      </c>
      <c r="D31" s="20">
        <v>635.0</v>
      </c>
      <c r="E31" s="20">
        <v>764.0</v>
      </c>
      <c r="F31" s="3">
        <v>626.0</v>
      </c>
      <c r="G31" s="20">
        <v>908.0</v>
      </c>
      <c r="H31" s="3">
        <v>3696.0</v>
      </c>
      <c r="I31" s="20">
        <v>2997.0</v>
      </c>
      <c r="J31" s="20">
        <v>473.0</v>
      </c>
      <c r="K31" s="32">
        <v>2784.0</v>
      </c>
      <c r="L31" s="20">
        <v>2158.0</v>
      </c>
      <c r="M31" s="20">
        <v>695.0</v>
      </c>
      <c r="N31" s="20">
        <v>1208.0</v>
      </c>
      <c r="O31" s="20">
        <v>1615.0</v>
      </c>
      <c r="P31" s="20">
        <v>697.0</v>
      </c>
      <c r="Q31" s="20">
        <v>100.0</v>
      </c>
      <c r="R31" s="3">
        <v>913.0</v>
      </c>
      <c r="S31" s="20">
        <v>1944.0</v>
      </c>
      <c r="T31" s="20">
        <v>562.0</v>
      </c>
      <c r="U31" s="20">
        <v>2193.0</v>
      </c>
      <c r="V31" s="20">
        <v>252.0</v>
      </c>
      <c r="W31" s="18"/>
      <c r="X31" s="18"/>
      <c r="Y31" s="18"/>
      <c r="Z31" s="18"/>
      <c r="AA31" s="18"/>
      <c r="AC31" s="29"/>
      <c r="AD31" s="21"/>
      <c r="AE31" s="22"/>
      <c r="AF31" s="22"/>
      <c r="AG31" s="22"/>
      <c r="AH31" s="2"/>
      <c r="AI31" s="22"/>
      <c r="AJ31" s="2"/>
      <c r="AK31" s="22"/>
      <c r="AL31" s="22"/>
      <c r="AM31" s="30"/>
      <c r="AN31" s="22"/>
      <c r="AO31" s="22"/>
      <c r="AP31" s="22"/>
      <c r="AQ31" s="22"/>
      <c r="AR31" s="22"/>
      <c r="AS31" s="22"/>
      <c r="AT31" s="2"/>
      <c r="AU31" s="22"/>
      <c r="AV31" s="22"/>
      <c r="AW31" s="22"/>
      <c r="AX31" s="22"/>
      <c r="BC31" s="20"/>
      <c r="BD31" s="20"/>
    </row>
    <row r="32" ht="15.75" customHeight="1">
      <c r="B32" s="19" t="s">
        <v>35</v>
      </c>
      <c r="C32" s="20">
        <v>107.0</v>
      </c>
      <c r="D32" s="20">
        <v>392.0</v>
      </c>
      <c r="E32" s="20">
        <v>767.0</v>
      </c>
      <c r="F32" s="3">
        <v>622.0</v>
      </c>
      <c r="G32" s="20">
        <v>4440.0</v>
      </c>
      <c r="H32" s="3">
        <v>2393.0</v>
      </c>
      <c r="I32" s="20">
        <v>2392.0</v>
      </c>
      <c r="J32" s="20">
        <v>371.0</v>
      </c>
      <c r="K32" s="32">
        <v>2828.0</v>
      </c>
      <c r="L32" s="20">
        <v>1617.0</v>
      </c>
      <c r="M32" s="20">
        <v>634.0</v>
      </c>
      <c r="N32" s="20">
        <v>1062.0</v>
      </c>
      <c r="O32" s="20">
        <v>2199.0</v>
      </c>
      <c r="P32" s="20">
        <v>743.0</v>
      </c>
      <c r="Q32" s="20">
        <v>81.0</v>
      </c>
      <c r="R32" s="3">
        <v>837.0</v>
      </c>
      <c r="S32" s="20">
        <v>2038.0</v>
      </c>
      <c r="T32" s="20">
        <v>707.0</v>
      </c>
      <c r="U32" s="20">
        <v>2116.0</v>
      </c>
      <c r="V32" s="20">
        <v>689.0</v>
      </c>
      <c r="W32" s="18"/>
      <c r="X32" s="18"/>
      <c r="Y32" s="18"/>
      <c r="Z32" s="18"/>
      <c r="AA32" s="18"/>
      <c r="AD32" s="21"/>
      <c r="AE32" s="22"/>
      <c r="AF32" s="22"/>
      <c r="AG32" s="22"/>
      <c r="AH32" s="2"/>
      <c r="AI32" s="22"/>
      <c r="AJ32" s="2"/>
      <c r="AK32" s="22"/>
      <c r="AL32" s="22"/>
      <c r="AM32" s="30"/>
      <c r="AN32" s="22"/>
      <c r="AO32" s="22"/>
      <c r="AP32" s="22"/>
      <c r="AQ32" s="22"/>
      <c r="AR32" s="22"/>
      <c r="AS32" s="22"/>
      <c r="AT32" s="2"/>
      <c r="AU32" s="22"/>
      <c r="AV32" s="22"/>
      <c r="AW32" s="22"/>
      <c r="AX32" s="22"/>
      <c r="BC32" s="20"/>
      <c r="BD32" s="20"/>
    </row>
    <row r="33" ht="15.75" customHeight="1">
      <c r="B33" s="19" t="s">
        <v>36</v>
      </c>
      <c r="C33" s="20">
        <v>39.0</v>
      </c>
      <c r="D33" s="20">
        <v>934.0</v>
      </c>
      <c r="E33" s="20">
        <v>703.0</v>
      </c>
      <c r="F33" s="3">
        <v>627.0</v>
      </c>
      <c r="G33" s="20">
        <v>3282.0</v>
      </c>
      <c r="H33" s="3">
        <v>2695.0</v>
      </c>
      <c r="I33" s="20">
        <v>1017.0</v>
      </c>
      <c r="J33" s="20">
        <v>471.0</v>
      </c>
      <c r="K33" s="32">
        <v>2252.0</v>
      </c>
      <c r="L33" s="20">
        <v>1355.0</v>
      </c>
      <c r="M33" s="20">
        <v>637.0</v>
      </c>
      <c r="N33" s="20">
        <v>1282.0</v>
      </c>
      <c r="O33" s="20">
        <v>1767.0</v>
      </c>
      <c r="P33" s="20">
        <v>703.0</v>
      </c>
      <c r="Q33" s="20">
        <v>83.0</v>
      </c>
      <c r="R33" s="3">
        <v>833.0</v>
      </c>
      <c r="S33" s="20">
        <v>2423.0</v>
      </c>
      <c r="T33" s="20">
        <v>707.0</v>
      </c>
      <c r="U33" s="20">
        <v>219.0</v>
      </c>
      <c r="V33" s="20">
        <v>666.0</v>
      </c>
      <c r="W33" s="18"/>
      <c r="X33" s="18"/>
      <c r="Y33" s="18"/>
      <c r="Z33" s="18"/>
      <c r="AA33" s="18"/>
      <c r="AD33" s="21"/>
      <c r="AE33" s="22"/>
      <c r="AF33" s="22"/>
      <c r="AG33" s="22"/>
      <c r="AH33" s="2"/>
      <c r="AI33" s="22"/>
      <c r="AJ33" s="2"/>
      <c r="AK33" s="22"/>
      <c r="AL33" s="22"/>
      <c r="AM33" s="30"/>
      <c r="AN33" s="22"/>
      <c r="AO33" s="22"/>
      <c r="AP33" s="22"/>
      <c r="AQ33" s="22"/>
      <c r="AR33" s="22"/>
      <c r="AS33" s="22"/>
      <c r="AT33" s="2"/>
      <c r="AU33" s="22"/>
      <c r="AV33" s="22"/>
      <c r="AW33" s="22"/>
      <c r="AX33" s="22"/>
      <c r="BC33" s="20"/>
      <c r="BD33" s="20"/>
    </row>
    <row r="34" ht="15.75" customHeight="1">
      <c r="B34" s="19" t="s">
        <v>37</v>
      </c>
      <c r="C34" s="20">
        <v>68.0</v>
      </c>
      <c r="D34" s="20">
        <v>762.0</v>
      </c>
      <c r="E34" s="20">
        <v>888.0</v>
      </c>
      <c r="F34" s="3">
        <v>654.0</v>
      </c>
      <c r="G34" s="20">
        <v>4849.0</v>
      </c>
      <c r="H34" s="3">
        <v>3357.0</v>
      </c>
      <c r="I34" s="20">
        <v>1523.0</v>
      </c>
      <c r="J34" s="20">
        <v>622.0</v>
      </c>
      <c r="K34" s="32">
        <v>2555.0</v>
      </c>
      <c r="L34" s="20">
        <v>1883.0</v>
      </c>
      <c r="M34" s="20">
        <v>688.0</v>
      </c>
      <c r="N34" s="20">
        <v>1217.0</v>
      </c>
      <c r="O34" s="20">
        <v>1095.0</v>
      </c>
      <c r="P34" s="20">
        <v>632.0</v>
      </c>
      <c r="Q34" s="20">
        <v>83.0</v>
      </c>
      <c r="R34" s="3">
        <v>837.0</v>
      </c>
      <c r="S34" s="20">
        <v>3700.0</v>
      </c>
      <c r="T34" s="20">
        <v>567.0</v>
      </c>
      <c r="U34" s="20">
        <v>699.0</v>
      </c>
      <c r="V34" s="20">
        <v>362.0</v>
      </c>
      <c r="W34" s="18"/>
      <c r="X34" s="18"/>
      <c r="Y34" s="18"/>
      <c r="Z34" s="18"/>
      <c r="AA34" s="18"/>
      <c r="AD34" s="21"/>
      <c r="AE34" s="22"/>
      <c r="AF34" s="22"/>
      <c r="AG34" s="22"/>
      <c r="AH34" s="2"/>
      <c r="AI34" s="22"/>
      <c r="AJ34" s="2"/>
      <c r="AK34" s="22"/>
      <c r="AL34" s="22"/>
      <c r="AM34" s="30"/>
      <c r="AN34" s="22"/>
      <c r="AO34" s="22"/>
      <c r="AP34" s="22"/>
      <c r="AQ34" s="22"/>
      <c r="AR34" s="22"/>
      <c r="AS34" s="22"/>
      <c r="AT34" s="2"/>
      <c r="AU34" s="22"/>
      <c r="AV34" s="22"/>
      <c r="AW34" s="22"/>
      <c r="AX34" s="22"/>
      <c r="BC34" s="20"/>
      <c r="BD34" s="20"/>
    </row>
    <row r="35" ht="15.75" customHeight="1">
      <c r="B35" s="19" t="s">
        <v>38</v>
      </c>
      <c r="C35" s="20">
        <v>73.0</v>
      </c>
      <c r="D35" s="20">
        <v>893.0</v>
      </c>
      <c r="E35" s="20">
        <v>908.0</v>
      </c>
      <c r="F35" s="3">
        <v>622.0</v>
      </c>
      <c r="G35" s="20">
        <v>4292.0</v>
      </c>
      <c r="H35" s="3">
        <v>2069.0</v>
      </c>
      <c r="I35" s="20">
        <v>2010.0</v>
      </c>
      <c r="J35" s="20">
        <v>505.0</v>
      </c>
      <c r="K35" s="32">
        <v>2201.0</v>
      </c>
      <c r="L35" s="20">
        <v>1146.0</v>
      </c>
      <c r="M35" s="20">
        <v>976.0</v>
      </c>
      <c r="N35" s="20">
        <v>835.0</v>
      </c>
      <c r="O35" s="20">
        <v>1741.0</v>
      </c>
      <c r="P35" s="20">
        <v>697.0</v>
      </c>
      <c r="Q35" s="20">
        <v>81.0</v>
      </c>
      <c r="R35" s="3">
        <v>1147.0</v>
      </c>
      <c r="S35" s="20">
        <v>1919.0</v>
      </c>
      <c r="T35" s="20">
        <v>749.0</v>
      </c>
      <c r="U35" s="20">
        <v>1826.0</v>
      </c>
      <c r="V35" s="20">
        <v>603.0</v>
      </c>
      <c r="W35" s="18"/>
      <c r="X35" s="18"/>
      <c r="Y35" s="18"/>
      <c r="Z35" s="18"/>
      <c r="AA35" s="18"/>
      <c r="AD35" s="21"/>
      <c r="AE35" s="22"/>
      <c r="AF35" s="22"/>
      <c r="AG35" s="22"/>
      <c r="AH35" s="2"/>
      <c r="AI35" s="22"/>
      <c r="AJ35" s="2"/>
      <c r="AK35" s="22"/>
      <c r="AL35" s="22"/>
      <c r="AM35" s="30"/>
      <c r="AN35" s="22"/>
      <c r="AO35" s="22"/>
      <c r="AP35" s="22"/>
      <c r="AQ35" s="22"/>
      <c r="AR35" s="22"/>
      <c r="AS35" s="22"/>
      <c r="AT35" s="2"/>
      <c r="AU35" s="22"/>
      <c r="AV35" s="22"/>
      <c r="AW35" s="22"/>
      <c r="AX35" s="22"/>
      <c r="BC35" s="20"/>
      <c r="BD35" s="20"/>
    </row>
    <row r="36" ht="15.75" customHeight="1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18"/>
      <c r="X36" s="18"/>
      <c r="Y36" s="18"/>
      <c r="Z36" s="18"/>
      <c r="AA36" s="18"/>
      <c r="AC36" s="30"/>
      <c r="AD36" s="30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BC36" s="3"/>
      <c r="BD36" s="3"/>
    </row>
    <row r="37" ht="15.75" customHeight="1">
      <c r="A37" s="32" t="s">
        <v>52</v>
      </c>
      <c r="C37" s="3">
        <v>5209.0</v>
      </c>
      <c r="D37" s="3">
        <v>1463.0</v>
      </c>
      <c r="E37" s="3">
        <v>3885.0</v>
      </c>
      <c r="F37" s="3">
        <v>2798.0</v>
      </c>
      <c r="G37" s="3">
        <v>8275.0</v>
      </c>
      <c r="H37" s="3">
        <v>18113.0</v>
      </c>
      <c r="I37" s="3">
        <v>10521.0</v>
      </c>
      <c r="J37" s="3">
        <v>2519.0</v>
      </c>
      <c r="K37" s="3">
        <v>32309.0</v>
      </c>
      <c r="L37" s="3">
        <v>7509.0</v>
      </c>
      <c r="M37" s="3">
        <v>14170.0</v>
      </c>
      <c r="N37" s="3">
        <v>5826.0</v>
      </c>
      <c r="O37" s="3">
        <v>17068.0</v>
      </c>
      <c r="P37" s="3">
        <v>11825.0</v>
      </c>
      <c r="Q37" s="3">
        <v>942.0</v>
      </c>
      <c r="R37" s="3">
        <v>22687.0</v>
      </c>
      <c r="S37" s="3">
        <v>14140.0</v>
      </c>
      <c r="T37" s="3">
        <v>4238.0</v>
      </c>
      <c r="U37" s="3">
        <v>8605.0</v>
      </c>
      <c r="V37" s="3">
        <v>6777.0</v>
      </c>
      <c r="W37" s="17">
        <f>AVERAGE(C37:V37)</f>
        <v>9943.95</v>
      </c>
      <c r="X37" s="17">
        <f>STDEV(C37:V37)</f>
        <v>7972.791761</v>
      </c>
      <c r="Y37" s="18"/>
      <c r="Z37" s="18"/>
      <c r="AA37" s="18"/>
      <c r="AC37" s="30"/>
      <c r="AD37" s="30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32" t="str">
        <f>AVERAGE(AE37:AX37)</f>
        <v>#DIV/0!</v>
      </c>
      <c r="AZ37" s="32" t="str">
        <f>STDEV(AE37:AX37)</f>
        <v>#DIV/0!</v>
      </c>
      <c r="BC37" s="3"/>
      <c r="BD37" s="3"/>
    </row>
    <row r="38" ht="15.75" customHeight="1">
      <c r="W38" s="18"/>
      <c r="X38" s="18"/>
      <c r="Y38" s="18"/>
      <c r="Z38" s="18"/>
      <c r="AA38" s="18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</row>
    <row r="39" ht="15.75" customHeight="1">
      <c r="A39" s="33" t="s">
        <v>53</v>
      </c>
      <c r="W39" s="16"/>
      <c r="X39" s="16"/>
      <c r="Y39" s="18"/>
      <c r="Z39" s="18"/>
      <c r="AA39" s="18"/>
      <c r="AC39" s="5"/>
      <c r="AY39" s="3"/>
      <c r="AZ39" s="3"/>
      <c r="BC39" s="33"/>
      <c r="BD39" s="33"/>
    </row>
    <row r="40" ht="15.75" customHeight="1">
      <c r="A40" s="3"/>
      <c r="B40" s="3"/>
      <c r="C40" s="2" t="s">
        <v>13</v>
      </c>
      <c r="D40" s="2" t="s">
        <v>14</v>
      </c>
      <c r="E40" s="2" t="s">
        <v>15</v>
      </c>
      <c r="F40" s="2" t="s">
        <v>16</v>
      </c>
      <c r="G40" s="2" t="s">
        <v>17</v>
      </c>
      <c r="H40" s="2" t="s">
        <v>18</v>
      </c>
      <c r="I40" s="2" t="s">
        <v>19</v>
      </c>
      <c r="J40" s="2" t="s">
        <v>20</v>
      </c>
      <c r="K40" s="2" t="s">
        <v>21</v>
      </c>
      <c r="L40" s="2" t="s">
        <v>22</v>
      </c>
      <c r="M40" s="2" t="s">
        <v>23</v>
      </c>
      <c r="N40" s="2" t="s">
        <v>24</v>
      </c>
      <c r="O40" s="2" t="s">
        <v>25</v>
      </c>
      <c r="P40" s="2" t="s">
        <v>26</v>
      </c>
      <c r="Q40" s="2" t="s">
        <v>27</v>
      </c>
      <c r="R40" s="2" t="s">
        <v>28</v>
      </c>
      <c r="S40" s="2" t="s">
        <v>29</v>
      </c>
      <c r="T40" s="2" t="s">
        <v>30</v>
      </c>
      <c r="U40" s="2" t="s">
        <v>31</v>
      </c>
      <c r="V40" s="2" t="s">
        <v>32</v>
      </c>
      <c r="W40" s="16"/>
      <c r="X40" s="16"/>
      <c r="Y40" s="17"/>
      <c r="Z40" s="17"/>
      <c r="AA40" s="18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3" t="s">
        <v>54</v>
      </c>
      <c r="AZ40" s="3" t="s">
        <v>55</v>
      </c>
      <c r="BA40" s="32" t="s">
        <v>56</v>
      </c>
      <c r="BC40" s="3"/>
      <c r="BD40" s="3"/>
    </row>
    <row r="41" ht="15.75" customHeight="1">
      <c r="A41" s="25" t="s">
        <v>33</v>
      </c>
      <c r="B41" s="25" t="s">
        <v>34</v>
      </c>
      <c r="C41" s="20">
        <v>1.0</v>
      </c>
      <c r="D41" s="20">
        <v>1.0</v>
      </c>
      <c r="E41" s="20">
        <v>1.0</v>
      </c>
      <c r="F41" s="20">
        <v>1.0</v>
      </c>
      <c r="G41" s="20">
        <v>1.0</v>
      </c>
      <c r="H41" s="20">
        <v>1.0</v>
      </c>
      <c r="I41" s="20">
        <v>1.0</v>
      </c>
      <c r="J41" s="20">
        <v>1.0</v>
      </c>
      <c r="K41" s="20">
        <v>1.0</v>
      </c>
      <c r="L41" s="20">
        <v>1.0</v>
      </c>
      <c r="M41" s="20">
        <v>0.0</v>
      </c>
      <c r="N41" s="20">
        <v>1.0</v>
      </c>
      <c r="O41" s="20">
        <v>1.0</v>
      </c>
      <c r="P41" s="20">
        <v>1.0</v>
      </c>
      <c r="Q41" s="20">
        <v>1.0</v>
      </c>
      <c r="R41" s="20">
        <v>1.0</v>
      </c>
      <c r="S41" s="3">
        <v>0.0</v>
      </c>
      <c r="T41" s="20">
        <v>1.0</v>
      </c>
      <c r="U41" s="20">
        <v>1.0</v>
      </c>
      <c r="V41" s="20">
        <v>1.0</v>
      </c>
      <c r="W41" s="16"/>
      <c r="X41" s="16"/>
      <c r="Y41" s="18"/>
      <c r="Z41" s="18"/>
      <c r="AA41" s="18"/>
      <c r="AC41" s="27"/>
      <c r="AD41" s="27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"/>
      <c r="AV41" s="22"/>
      <c r="AW41" s="22"/>
      <c r="AX41" s="22"/>
      <c r="AY41" s="3"/>
      <c r="AZ41" s="3"/>
      <c r="BC41" s="20"/>
      <c r="BD41" s="20"/>
    </row>
    <row r="42" ht="15.75" customHeight="1">
      <c r="B42" s="25" t="s">
        <v>35</v>
      </c>
      <c r="C42" s="20">
        <v>0.0</v>
      </c>
      <c r="D42" s="20">
        <v>0.0</v>
      </c>
      <c r="E42" s="20">
        <v>1.0</v>
      </c>
      <c r="F42" s="20">
        <v>1.0</v>
      </c>
      <c r="G42" s="20">
        <v>1.0</v>
      </c>
      <c r="H42" s="20">
        <v>1.0</v>
      </c>
      <c r="I42" s="20">
        <v>1.0</v>
      </c>
      <c r="J42" s="20">
        <v>1.0</v>
      </c>
      <c r="K42" s="20">
        <v>1.0</v>
      </c>
      <c r="L42" s="20">
        <v>1.0</v>
      </c>
      <c r="M42" s="20">
        <v>1.0</v>
      </c>
      <c r="N42" s="20">
        <v>1.0</v>
      </c>
      <c r="O42" s="20">
        <v>1.0</v>
      </c>
      <c r="P42" s="20">
        <v>1.0</v>
      </c>
      <c r="Q42" s="20">
        <v>1.0</v>
      </c>
      <c r="R42" s="20">
        <v>1.0</v>
      </c>
      <c r="S42" s="3">
        <v>1.0</v>
      </c>
      <c r="T42" s="20">
        <v>1.0</v>
      </c>
      <c r="U42" s="20">
        <v>1.0</v>
      </c>
      <c r="V42" s="20">
        <v>1.0</v>
      </c>
      <c r="W42" s="16"/>
      <c r="X42" s="16"/>
      <c r="Y42" s="18"/>
      <c r="Z42" s="18"/>
      <c r="AA42" s="18"/>
      <c r="AC42" s="27"/>
      <c r="AD42" s="27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"/>
      <c r="AV42" s="22"/>
      <c r="AW42" s="22"/>
      <c r="AX42" s="22"/>
      <c r="AY42" s="3"/>
      <c r="AZ42" s="3"/>
      <c r="BC42" s="20"/>
      <c r="BD42" s="20"/>
    </row>
    <row r="43" ht="15.75" customHeight="1">
      <c r="B43" s="25" t="s">
        <v>36</v>
      </c>
      <c r="C43" s="20">
        <v>1.0</v>
      </c>
      <c r="D43" s="20">
        <v>1.0</v>
      </c>
      <c r="E43" s="20">
        <v>1.0</v>
      </c>
      <c r="F43" s="20">
        <v>1.0</v>
      </c>
      <c r="G43" s="20">
        <v>1.0</v>
      </c>
      <c r="H43" s="20">
        <v>1.0</v>
      </c>
      <c r="I43" s="20">
        <v>1.0</v>
      </c>
      <c r="J43" s="20">
        <v>1.0</v>
      </c>
      <c r="K43" s="20">
        <v>1.0</v>
      </c>
      <c r="L43" s="20">
        <v>1.0</v>
      </c>
      <c r="M43" s="20">
        <v>1.0</v>
      </c>
      <c r="N43" s="20">
        <v>1.0</v>
      </c>
      <c r="O43" s="20">
        <v>1.0</v>
      </c>
      <c r="P43" s="20">
        <v>1.0</v>
      </c>
      <c r="Q43" s="20">
        <v>0.0</v>
      </c>
      <c r="R43" s="20">
        <v>1.0</v>
      </c>
      <c r="S43" s="3">
        <v>1.0</v>
      </c>
      <c r="T43" s="20">
        <v>1.0</v>
      </c>
      <c r="U43" s="20">
        <v>1.0</v>
      </c>
      <c r="V43" s="20">
        <v>1.0</v>
      </c>
      <c r="W43" s="16"/>
      <c r="X43" s="16"/>
      <c r="Y43" s="18"/>
      <c r="Z43" s="18"/>
      <c r="AA43" s="18"/>
      <c r="AC43" s="27"/>
      <c r="AD43" s="27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"/>
      <c r="AV43" s="22"/>
      <c r="AW43" s="22"/>
      <c r="AX43" s="22"/>
      <c r="AY43" s="3"/>
      <c r="AZ43" s="3"/>
      <c r="BC43" s="20"/>
      <c r="BD43" s="20"/>
    </row>
    <row r="44" ht="15.75" customHeight="1">
      <c r="B44" s="25" t="s">
        <v>37</v>
      </c>
      <c r="C44" s="20">
        <v>1.0</v>
      </c>
      <c r="D44" s="20">
        <v>1.0</v>
      </c>
      <c r="E44" s="20">
        <v>1.0</v>
      </c>
      <c r="F44" s="20">
        <v>1.0</v>
      </c>
      <c r="G44" s="20">
        <v>1.0</v>
      </c>
      <c r="H44" s="20">
        <v>1.0</v>
      </c>
      <c r="I44" s="20">
        <v>1.0</v>
      </c>
      <c r="J44" s="20">
        <v>1.0</v>
      </c>
      <c r="K44" s="20">
        <v>1.0</v>
      </c>
      <c r="L44" s="20">
        <v>1.0</v>
      </c>
      <c r="M44" s="20">
        <v>1.0</v>
      </c>
      <c r="N44" s="20">
        <v>1.0</v>
      </c>
      <c r="O44" s="20">
        <v>1.0</v>
      </c>
      <c r="P44" s="20">
        <v>1.0</v>
      </c>
      <c r="Q44" s="20">
        <v>0.0</v>
      </c>
      <c r="R44" s="20">
        <v>1.0</v>
      </c>
      <c r="S44" s="3">
        <v>1.0</v>
      </c>
      <c r="T44" s="20">
        <v>1.0</v>
      </c>
      <c r="U44" s="20">
        <v>1.0</v>
      </c>
      <c r="V44" s="20">
        <v>1.0</v>
      </c>
      <c r="W44" s="16"/>
      <c r="X44" s="16"/>
      <c r="Y44" s="18"/>
      <c r="Z44" s="18"/>
      <c r="AA44" s="18"/>
      <c r="AC44" s="27"/>
      <c r="AD44" s="27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"/>
      <c r="AV44" s="22"/>
      <c r="AW44" s="22"/>
      <c r="AX44" s="22"/>
      <c r="AY44" s="3"/>
      <c r="AZ44" s="3"/>
      <c r="BC44" s="20"/>
      <c r="BD44" s="20"/>
    </row>
    <row r="45" ht="15.75" customHeight="1">
      <c r="B45" s="25" t="s">
        <v>38</v>
      </c>
      <c r="C45" s="20">
        <v>1.0</v>
      </c>
      <c r="D45" s="20">
        <v>1.0</v>
      </c>
      <c r="E45" s="20">
        <v>1.0</v>
      </c>
      <c r="F45" s="20">
        <v>1.0</v>
      </c>
      <c r="G45" s="20">
        <v>1.0</v>
      </c>
      <c r="H45" s="20">
        <v>1.0</v>
      </c>
      <c r="I45" s="20">
        <v>1.0</v>
      </c>
      <c r="J45" s="20">
        <v>1.0</v>
      </c>
      <c r="K45" s="20">
        <v>1.0</v>
      </c>
      <c r="L45" s="20">
        <v>1.0</v>
      </c>
      <c r="M45" s="20">
        <v>0.0</v>
      </c>
      <c r="N45" s="20">
        <v>1.0</v>
      </c>
      <c r="O45" s="20">
        <v>1.0</v>
      </c>
      <c r="P45" s="20">
        <v>1.0</v>
      </c>
      <c r="Q45" s="20">
        <v>1.0</v>
      </c>
      <c r="R45" s="20">
        <v>1.0</v>
      </c>
      <c r="S45" s="3">
        <v>1.0</v>
      </c>
      <c r="T45" s="20">
        <v>1.0</v>
      </c>
      <c r="U45" s="20">
        <v>1.0</v>
      </c>
      <c r="V45" s="20">
        <v>0.0</v>
      </c>
      <c r="W45" s="16"/>
      <c r="X45" s="16"/>
      <c r="Y45" s="18"/>
      <c r="Z45" s="18"/>
      <c r="AA45" s="18"/>
      <c r="AC45" s="27"/>
      <c r="AD45" s="27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"/>
      <c r="AV45" s="22"/>
      <c r="AW45" s="22"/>
      <c r="AX45" s="22"/>
      <c r="AY45" s="3"/>
      <c r="AZ45" s="3"/>
      <c r="BC45" s="20"/>
      <c r="BD45" s="20"/>
    </row>
    <row r="46" ht="15.75" customHeight="1">
      <c r="B46" s="25" t="s">
        <v>39</v>
      </c>
      <c r="C46" s="20">
        <v>80.0</v>
      </c>
      <c r="D46" s="20">
        <v>80.0</v>
      </c>
      <c r="E46" s="20">
        <v>100.0</v>
      </c>
      <c r="F46" s="20">
        <v>100.0</v>
      </c>
      <c r="G46" s="20">
        <v>100.0</v>
      </c>
      <c r="H46" s="20">
        <v>100.0</v>
      </c>
      <c r="I46" s="20">
        <v>100.0</v>
      </c>
      <c r="J46" s="20">
        <v>100.0</v>
      </c>
      <c r="K46" s="20">
        <v>100.0</v>
      </c>
      <c r="L46" s="20">
        <v>100.0</v>
      </c>
      <c r="M46" s="20">
        <v>75.0</v>
      </c>
      <c r="N46" s="20">
        <v>100.0</v>
      </c>
      <c r="O46" s="20">
        <v>100.0</v>
      </c>
      <c r="P46" s="20">
        <v>100.0</v>
      </c>
      <c r="Q46" s="20">
        <v>100.0</v>
      </c>
      <c r="R46" s="20">
        <v>100.0</v>
      </c>
      <c r="S46" s="3">
        <v>80.0</v>
      </c>
      <c r="T46" s="20">
        <v>100.0</v>
      </c>
      <c r="U46" s="20">
        <v>100.0</v>
      </c>
      <c r="V46" s="20">
        <v>80.0</v>
      </c>
      <c r="W46" s="16">
        <f>AVERAGE(C46:V46)</f>
        <v>94.75</v>
      </c>
      <c r="X46" s="16">
        <f>STDEV(C46:V46)</f>
        <v>9.385739463</v>
      </c>
      <c r="Y46" s="17">
        <f>(15/20) * 100</f>
        <v>75</v>
      </c>
      <c r="Z46" s="17"/>
      <c r="AA46" s="18"/>
      <c r="AC46" s="27"/>
      <c r="AD46" s="27">
        <f>5/20 * 100</f>
        <v>25</v>
      </c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"/>
      <c r="AV46" s="22"/>
      <c r="AW46" s="22"/>
      <c r="AX46" s="22"/>
      <c r="AY46" s="20" t="str">
        <f>AVERAGE(AE46:AX46)</f>
        <v>#DIV/0!</v>
      </c>
      <c r="AZ46" s="20" t="str">
        <f>STDEV(AE46:AX46)</f>
        <v>#DIV/0!</v>
      </c>
      <c r="BA46" s="17">
        <f>(15/20) * 100</f>
        <v>75</v>
      </c>
      <c r="BC46" s="20"/>
      <c r="BD46" s="20"/>
    </row>
    <row r="47" ht="15.75" customHeight="1">
      <c r="A47" s="25" t="s">
        <v>40</v>
      </c>
      <c r="B47" s="25" t="s">
        <v>34</v>
      </c>
      <c r="C47" s="20">
        <v>100.0</v>
      </c>
      <c r="D47" s="20">
        <v>100.0</v>
      </c>
      <c r="E47" s="20">
        <v>100.0</v>
      </c>
      <c r="F47" s="23"/>
      <c r="G47" s="20">
        <v>90.9</v>
      </c>
      <c r="H47" s="23"/>
      <c r="I47" s="24"/>
      <c r="J47" s="24"/>
      <c r="K47" s="24"/>
      <c r="L47" s="24"/>
      <c r="M47" s="22">
        <v>0.0</v>
      </c>
      <c r="N47" s="20">
        <v>100.0</v>
      </c>
      <c r="O47" s="20">
        <v>100.0</v>
      </c>
      <c r="P47" s="24"/>
      <c r="Q47" s="20">
        <v>100.0</v>
      </c>
      <c r="R47" s="20">
        <v>100.0</v>
      </c>
      <c r="S47" s="24"/>
      <c r="T47" s="24"/>
      <c r="U47" s="24"/>
      <c r="V47" s="20">
        <v>100.0</v>
      </c>
      <c r="W47" s="16"/>
      <c r="X47" s="16"/>
      <c r="Y47" s="17"/>
      <c r="Z47" s="17"/>
      <c r="AA47" s="18"/>
      <c r="AC47" s="27"/>
      <c r="AD47" s="27"/>
      <c r="AE47" s="22"/>
      <c r="AF47" s="22"/>
      <c r="AG47" s="22"/>
      <c r="AH47" s="2"/>
      <c r="AI47" s="22"/>
      <c r="AJ47" s="2"/>
      <c r="AK47" s="2"/>
      <c r="AL47" s="2"/>
      <c r="AM47" s="2"/>
      <c r="AN47" s="2"/>
      <c r="AO47" s="22"/>
      <c r="AP47" s="22"/>
      <c r="AQ47" s="22"/>
      <c r="AR47" s="2"/>
      <c r="AS47" s="22"/>
      <c r="AT47" s="22"/>
      <c r="AU47" s="2"/>
      <c r="AV47" s="2"/>
      <c r="AW47" s="2"/>
      <c r="AX47" s="22"/>
      <c r="AY47" s="3"/>
      <c r="AZ47" s="3"/>
      <c r="BA47" s="32" t="s">
        <v>57</v>
      </c>
      <c r="BC47" s="20"/>
      <c r="BD47" s="20"/>
    </row>
    <row r="48" ht="15.75" customHeight="1">
      <c r="B48" s="25" t="s">
        <v>35</v>
      </c>
      <c r="C48" s="20">
        <v>0.0</v>
      </c>
      <c r="D48" s="20">
        <v>0.0</v>
      </c>
      <c r="E48" s="20">
        <v>100.0</v>
      </c>
      <c r="F48" s="23"/>
      <c r="G48" s="20">
        <v>100.0</v>
      </c>
      <c r="H48" s="23"/>
      <c r="I48" s="24"/>
      <c r="J48" s="24"/>
      <c r="K48" s="24"/>
      <c r="L48" s="24"/>
      <c r="M48" s="22">
        <v>100.0</v>
      </c>
      <c r="N48" s="20">
        <v>0.0</v>
      </c>
      <c r="O48" s="20">
        <v>100.0</v>
      </c>
      <c r="P48" s="24"/>
      <c r="Q48" s="20">
        <v>100.0</v>
      </c>
      <c r="R48" s="20">
        <v>100.0</v>
      </c>
      <c r="S48" s="24"/>
      <c r="T48" s="24"/>
      <c r="U48" s="24"/>
      <c r="V48" s="20">
        <v>100.0</v>
      </c>
      <c r="W48" s="16"/>
      <c r="X48" s="16"/>
      <c r="Y48" s="17"/>
      <c r="Z48" s="17"/>
      <c r="AA48" s="18"/>
      <c r="AC48" s="27"/>
      <c r="AD48" s="27"/>
      <c r="AE48" s="22"/>
      <c r="AF48" s="22"/>
      <c r="AG48" s="22"/>
      <c r="AH48" s="2"/>
      <c r="AI48" s="22"/>
      <c r="AJ48" s="2"/>
      <c r="AK48" s="2"/>
      <c r="AL48" s="2"/>
      <c r="AM48" s="2"/>
      <c r="AN48" s="2"/>
      <c r="AO48" s="22"/>
      <c r="AP48" s="22"/>
      <c r="AQ48" s="22"/>
      <c r="AR48" s="2"/>
      <c r="AS48" s="22"/>
      <c r="AT48" s="22"/>
      <c r="AU48" s="2"/>
      <c r="AV48" s="2"/>
      <c r="AW48" s="2"/>
      <c r="AX48" s="22"/>
      <c r="AY48" s="3"/>
      <c r="AZ48" s="3"/>
      <c r="BA48" s="32"/>
      <c r="BB48" s="32"/>
      <c r="BC48" s="20"/>
      <c r="BD48" s="20"/>
    </row>
    <row r="49" ht="15.75" customHeight="1">
      <c r="B49" s="25" t="s">
        <v>36</v>
      </c>
      <c r="C49" s="20">
        <v>100.0</v>
      </c>
      <c r="D49" s="20">
        <v>100.0</v>
      </c>
      <c r="E49" s="20">
        <v>100.0</v>
      </c>
      <c r="F49" s="23"/>
      <c r="G49" s="20">
        <v>90.9</v>
      </c>
      <c r="H49" s="23"/>
      <c r="I49" s="24"/>
      <c r="J49" s="24"/>
      <c r="K49" s="24"/>
      <c r="L49" s="24"/>
      <c r="M49" s="22">
        <v>100.0</v>
      </c>
      <c r="N49" s="20">
        <v>0.0</v>
      </c>
      <c r="O49" s="20">
        <v>100.0</v>
      </c>
      <c r="P49" s="24"/>
      <c r="Q49" s="20">
        <v>0.0</v>
      </c>
      <c r="R49" s="20">
        <v>100.0</v>
      </c>
      <c r="S49" s="24"/>
      <c r="T49" s="24"/>
      <c r="U49" s="24"/>
      <c r="V49" s="20">
        <v>100.0</v>
      </c>
      <c r="W49" s="16"/>
      <c r="X49" s="16"/>
      <c r="Y49" s="18"/>
      <c r="Z49" s="18"/>
      <c r="AA49" s="18"/>
      <c r="AC49" s="27"/>
      <c r="AD49" s="27"/>
      <c r="AE49" s="22"/>
      <c r="AF49" s="22"/>
      <c r="AG49" s="22"/>
      <c r="AH49" s="2"/>
      <c r="AI49" s="22"/>
      <c r="AJ49" s="2"/>
      <c r="AK49" s="2"/>
      <c r="AL49" s="2"/>
      <c r="AM49" s="2"/>
      <c r="AN49" s="2"/>
      <c r="AO49" s="22"/>
      <c r="AP49" s="22"/>
      <c r="AQ49" s="22"/>
      <c r="AR49" s="2"/>
      <c r="AS49" s="22"/>
      <c r="AT49" s="22"/>
      <c r="AU49" s="2"/>
      <c r="AV49" s="2"/>
      <c r="AW49" s="2"/>
      <c r="AX49" s="22"/>
      <c r="AY49" s="3"/>
      <c r="AZ49" s="3"/>
      <c r="BC49" s="20"/>
      <c r="BD49" s="20"/>
    </row>
    <row r="50" ht="15.75" customHeight="1">
      <c r="B50" s="25" t="s">
        <v>37</v>
      </c>
      <c r="C50" s="20">
        <v>100.0</v>
      </c>
      <c r="D50" s="20">
        <v>100.0</v>
      </c>
      <c r="E50" s="20">
        <v>100.0</v>
      </c>
      <c r="F50" s="23"/>
      <c r="G50" s="20">
        <v>90.9</v>
      </c>
      <c r="H50" s="23"/>
      <c r="I50" s="24"/>
      <c r="J50" s="24"/>
      <c r="K50" s="24"/>
      <c r="L50" s="24"/>
      <c r="M50" s="22">
        <v>100.0</v>
      </c>
      <c r="N50" s="20">
        <v>0.0</v>
      </c>
      <c r="O50" s="20">
        <v>100.0</v>
      </c>
      <c r="P50" s="24"/>
      <c r="Q50" s="20">
        <v>0.0</v>
      </c>
      <c r="R50" s="20">
        <v>100.0</v>
      </c>
      <c r="S50" s="24"/>
      <c r="T50" s="24"/>
      <c r="U50" s="24"/>
      <c r="V50" s="20">
        <v>100.0</v>
      </c>
      <c r="W50" s="16"/>
      <c r="X50" s="16"/>
      <c r="Y50" s="18"/>
      <c r="Z50" s="18"/>
      <c r="AA50" s="18"/>
      <c r="AC50" s="27"/>
      <c r="AD50" s="27"/>
      <c r="AE50" s="22"/>
      <c r="AF50" s="22"/>
      <c r="AG50" s="22"/>
      <c r="AH50" s="2"/>
      <c r="AI50" s="22"/>
      <c r="AJ50" s="2"/>
      <c r="AK50" s="2"/>
      <c r="AL50" s="2"/>
      <c r="AM50" s="2"/>
      <c r="AN50" s="2"/>
      <c r="AO50" s="22"/>
      <c r="AP50" s="22"/>
      <c r="AQ50" s="22"/>
      <c r="AR50" s="2"/>
      <c r="AS50" s="22"/>
      <c r="AT50" s="22"/>
      <c r="AU50" s="2"/>
      <c r="AV50" s="2"/>
      <c r="AW50" s="2"/>
      <c r="AX50" s="22"/>
      <c r="AY50" s="3"/>
      <c r="AZ50" s="3"/>
      <c r="BC50" s="20"/>
      <c r="BD50" s="20"/>
    </row>
    <row r="51" ht="15.75" customHeight="1">
      <c r="B51" s="25" t="s">
        <v>38</v>
      </c>
      <c r="C51" s="20">
        <v>100.0</v>
      </c>
      <c r="D51" s="20">
        <v>100.0</v>
      </c>
      <c r="E51" s="20">
        <v>100.0</v>
      </c>
      <c r="F51" s="23"/>
      <c r="G51" s="20">
        <v>90.9</v>
      </c>
      <c r="H51" s="23"/>
      <c r="I51" s="24"/>
      <c r="J51" s="24"/>
      <c r="K51" s="24"/>
      <c r="L51" s="24"/>
      <c r="M51" s="22">
        <v>0.0</v>
      </c>
      <c r="N51" s="20">
        <v>0.0</v>
      </c>
      <c r="O51" s="20">
        <v>100.0</v>
      </c>
      <c r="P51" s="24"/>
      <c r="Q51" s="20">
        <v>100.0</v>
      </c>
      <c r="R51" s="20">
        <v>100.0</v>
      </c>
      <c r="S51" s="24"/>
      <c r="T51" s="24"/>
      <c r="U51" s="24"/>
      <c r="V51" s="20">
        <v>0.0</v>
      </c>
      <c r="W51" s="16"/>
      <c r="X51" s="16"/>
      <c r="Y51" s="18"/>
      <c r="Z51" s="18"/>
      <c r="AA51" s="18"/>
      <c r="AC51" s="27"/>
      <c r="AD51" s="27"/>
      <c r="AE51" s="22"/>
      <c r="AF51" s="22"/>
      <c r="AG51" s="22"/>
      <c r="AH51" s="2"/>
      <c r="AI51" s="22"/>
      <c r="AJ51" s="2"/>
      <c r="AK51" s="2"/>
      <c r="AL51" s="2"/>
      <c r="AM51" s="2"/>
      <c r="AN51" s="2"/>
      <c r="AO51" s="22"/>
      <c r="AP51" s="22"/>
      <c r="AQ51" s="22"/>
      <c r="AR51" s="2"/>
      <c r="AS51" s="22"/>
      <c r="AT51" s="22"/>
      <c r="AU51" s="2"/>
      <c r="AV51" s="2"/>
      <c r="AW51" s="2"/>
      <c r="AX51" s="22"/>
      <c r="AY51" s="3"/>
      <c r="AZ51" s="3"/>
      <c r="BC51" s="20"/>
      <c r="BD51" s="20"/>
    </row>
    <row r="52" ht="15.75" customHeight="1">
      <c r="B52" s="25" t="s">
        <v>42</v>
      </c>
      <c r="C52" s="20">
        <f>AVERAGE(C47:C51)</f>
        <v>80</v>
      </c>
      <c r="D52" s="20">
        <f>(100+0+100+100+100)/5</f>
        <v>80</v>
      </c>
      <c r="E52" s="20">
        <f>AVERAGE(E47:E51)</f>
        <v>100</v>
      </c>
      <c r="F52" s="34" t="s">
        <v>43</v>
      </c>
      <c r="G52" s="20">
        <f>AVERAGE(G47:G51)</f>
        <v>92.72</v>
      </c>
      <c r="H52" s="34" t="s">
        <v>43</v>
      </c>
      <c r="I52" s="24" t="s">
        <v>44</v>
      </c>
      <c r="J52" s="24" t="s">
        <v>44</v>
      </c>
      <c r="K52" s="24" t="s">
        <v>44</v>
      </c>
      <c r="L52" s="24" t="s">
        <v>44</v>
      </c>
      <c r="M52" s="22">
        <f t="shared" ref="M52:O52" si="15">AVERAGE(M47:M51)</f>
        <v>60</v>
      </c>
      <c r="N52" s="20">
        <f t="shared" si="15"/>
        <v>20</v>
      </c>
      <c r="O52" s="20">
        <f t="shared" si="15"/>
        <v>100</v>
      </c>
      <c r="P52" s="24" t="s">
        <v>44</v>
      </c>
      <c r="Q52" s="20">
        <f t="shared" ref="Q52:R52" si="16">AVERAGE(Q47:Q51)</f>
        <v>60</v>
      </c>
      <c r="R52" s="20">
        <f t="shared" si="16"/>
        <v>100</v>
      </c>
      <c r="S52" s="24" t="s">
        <v>44</v>
      </c>
      <c r="T52" s="24" t="s">
        <v>44</v>
      </c>
      <c r="U52" s="24" t="s">
        <v>44</v>
      </c>
      <c r="V52" s="20">
        <f>AVERAGE(V47:V51)</f>
        <v>80</v>
      </c>
      <c r="W52" s="16">
        <f>AVERAGE(C52:E52,G52,M52:O52,Q52:R52,V52)</f>
        <v>77.272</v>
      </c>
      <c r="X52" s="16">
        <f>STDEV(C52:E52,G52,M52:O52,Q52:R52,V52)</f>
        <v>25.13823683</v>
      </c>
      <c r="Y52" s="17"/>
      <c r="Z52" s="17">
        <f>(3/10) * 100</f>
        <v>30</v>
      </c>
      <c r="AA52" s="18"/>
      <c r="AC52" s="27">
        <f>(3/10) * 100</f>
        <v>30</v>
      </c>
      <c r="AD52" s="27"/>
      <c r="AE52" s="22"/>
      <c r="AF52" s="22"/>
      <c r="AG52" s="35">
        <f>7/10*100</f>
        <v>70</v>
      </c>
      <c r="AJ52" s="5"/>
      <c r="AK52" s="2"/>
      <c r="AL52" s="2"/>
      <c r="AM52" s="2"/>
      <c r="AN52" s="2"/>
      <c r="AO52" s="22"/>
      <c r="AP52" s="22"/>
      <c r="AQ52" s="22"/>
      <c r="AR52" s="2"/>
      <c r="AS52" s="22"/>
      <c r="AT52" s="22"/>
      <c r="AU52" s="2"/>
      <c r="AV52" s="2"/>
      <c r="AW52" s="2"/>
      <c r="AX52" s="22"/>
      <c r="AY52" s="20">
        <f>AVERAGE(AE52:AG52,AI52,AO52:AQ52,AS52:AT52,AX52)</f>
        <v>70</v>
      </c>
      <c r="AZ52" s="20" t="str">
        <f>STDEV(AE52:AG52,AI52,AO52:AQ52,AS52:AT52,AX52)</f>
        <v>#DIV/0!</v>
      </c>
      <c r="BA52" s="17">
        <f>(3/10) * 100</f>
        <v>30</v>
      </c>
      <c r="BC52" s="20"/>
      <c r="BD52" s="20"/>
    </row>
    <row r="53" ht="15.75" customHeight="1">
      <c r="W53" s="18"/>
      <c r="X53" s="18"/>
      <c r="Y53" s="17"/>
      <c r="Z53" s="17"/>
      <c r="AA53" s="18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BA53" s="17" t="s">
        <v>58</v>
      </c>
    </row>
    <row r="54" ht="15.75" customHeight="1">
      <c r="A54" s="31" t="s">
        <v>46</v>
      </c>
      <c r="B54" s="19" t="s">
        <v>34</v>
      </c>
      <c r="C54" s="20">
        <f t="shared" ref="C54:V54" si="17">(C65/C71)*100</f>
        <v>2.587091917</v>
      </c>
      <c r="D54" s="20">
        <f t="shared" si="17"/>
        <v>11.87308086</v>
      </c>
      <c r="E54" s="20">
        <f t="shared" si="17"/>
        <v>10.7171528</v>
      </c>
      <c r="F54" s="20">
        <f t="shared" si="17"/>
        <v>23.8517179</v>
      </c>
      <c r="G54" s="20">
        <f t="shared" si="17"/>
        <v>18.42550313</v>
      </c>
      <c r="H54" s="20">
        <f t="shared" si="17"/>
        <v>6.07850715</v>
      </c>
      <c r="I54" s="20">
        <f t="shared" si="17"/>
        <v>11.57684631</v>
      </c>
      <c r="J54" s="20">
        <f t="shared" si="17"/>
        <v>9.204197639</v>
      </c>
      <c r="K54" s="20">
        <f t="shared" si="17"/>
        <v>19.32957393</v>
      </c>
      <c r="L54" s="20">
        <f t="shared" si="17"/>
        <v>0</v>
      </c>
      <c r="M54" s="20" t="str">
        <f t="shared" si="17"/>
        <v>#VALUE!</v>
      </c>
      <c r="N54" s="20">
        <f t="shared" si="17"/>
        <v>6.150021617</v>
      </c>
      <c r="O54" s="20" t="str">
        <f t="shared" si="17"/>
        <v>#VALUE!</v>
      </c>
      <c r="P54" s="20">
        <f t="shared" si="17"/>
        <v>1.66442953</v>
      </c>
      <c r="Q54" s="20">
        <f t="shared" si="17"/>
        <v>0.3328340822</v>
      </c>
      <c r="R54" s="20">
        <f t="shared" si="17"/>
        <v>4.148296593</v>
      </c>
      <c r="S54" s="20" t="str">
        <f t="shared" si="17"/>
        <v>#VALUE!</v>
      </c>
      <c r="T54" s="20">
        <f t="shared" si="17"/>
        <v>0.976880495</v>
      </c>
      <c r="U54" s="20">
        <f t="shared" si="17"/>
        <v>10.76371092</v>
      </c>
      <c r="V54" s="20">
        <f t="shared" si="17"/>
        <v>4.8994744</v>
      </c>
      <c r="W54" s="18"/>
      <c r="X54" s="18"/>
      <c r="Y54" s="18"/>
      <c r="Z54" s="18"/>
      <c r="AA54" s="18"/>
      <c r="AC54" s="29"/>
      <c r="AD54" s="21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BC54" s="20"/>
      <c r="BD54" s="20"/>
    </row>
    <row r="55" ht="15.75" customHeight="1">
      <c r="B55" s="19" t="s">
        <v>35</v>
      </c>
      <c r="C55" s="20">
        <f t="shared" ref="C55:V55" si="18">(C66/C71)*100</f>
        <v>11.75826432</v>
      </c>
      <c r="D55" s="20">
        <f t="shared" si="18"/>
        <v>29.68270215</v>
      </c>
      <c r="E55" s="20">
        <f t="shared" si="18"/>
        <v>7.546160021</v>
      </c>
      <c r="F55" s="20">
        <f t="shared" si="18"/>
        <v>11.01265823</v>
      </c>
      <c r="G55" s="20">
        <f t="shared" si="18"/>
        <v>11.95670556</v>
      </c>
      <c r="H55" s="20">
        <f t="shared" si="18"/>
        <v>11.03075139</v>
      </c>
      <c r="I55" s="20">
        <f t="shared" si="18"/>
        <v>13.56334949</v>
      </c>
      <c r="J55" s="20">
        <f t="shared" si="18"/>
        <v>5.509400962</v>
      </c>
      <c r="K55" s="20">
        <f t="shared" si="18"/>
        <v>23.02631579</v>
      </c>
      <c r="L55" s="20">
        <f t="shared" si="18"/>
        <v>14.80505796</v>
      </c>
      <c r="M55" s="20">
        <f t="shared" si="18"/>
        <v>0.288184438</v>
      </c>
      <c r="N55" s="20">
        <f t="shared" si="18"/>
        <v>3.210116732</v>
      </c>
      <c r="O55" s="20">
        <f t="shared" si="18"/>
        <v>6.590895776</v>
      </c>
      <c r="P55" s="20">
        <f t="shared" si="18"/>
        <v>6.926174497</v>
      </c>
      <c r="Q55" s="20">
        <f t="shared" si="18"/>
        <v>2.080213014</v>
      </c>
      <c r="R55" s="20">
        <f t="shared" si="18"/>
        <v>3.877755511</v>
      </c>
      <c r="S55" s="20">
        <f t="shared" si="18"/>
        <v>6.044276143</v>
      </c>
      <c r="T55" s="20">
        <f t="shared" si="18"/>
        <v>4.037772712</v>
      </c>
      <c r="U55" s="20">
        <f t="shared" si="18"/>
        <v>11.32752435</v>
      </c>
      <c r="V55" s="20">
        <f t="shared" si="18"/>
        <v>0.1506965119</v>
      </c>
      <c r="W55" s="18"/>
      <c r="X55" s="18"/>
      <c r="Y55" s="17"/>
      <c r="Z55" s="17"/>
      <c r="AA55" s="18"/>
      <c r="AC55" s="29"/>
      <c r="AD55" s="21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BA55" s="32"/>
      <c r="BC55" s="20"/>
      <c r="BD55" s="20"/>
    </row>
    <row r="56" ht="15.75" customHeight="1">
      <c r="B56" s="19" t="s">
        <v>36</v>
      </c>
      <c r="C56" s="20">
        <f t="shared" ref="C56:V56" si="19">(C67/C71)*100</f>
        <v>2.52549449</v>
      </c>
      <c r="D56" s="20">
        <f t="shared" si="19"/>
        <v>21.34815031</v>
      </c>
      <c r="E56" s="20">
        <f t="shared" si="19"/>
        <v>7.546160021</v>
      </c>
      <c r="F56" s="20">
        <f t="shared" si="19"/>
        <v>12.26039783</v>
      </c>
      <c r="G56" s="20">
        <f t="shared" si="19"/>
        <v>18.16336885</v>
      </c>
      <c r="H56" s="20">
        <f t="shared" si="19"/>
        <v>11.24606636</v>
      </c>
      <c r="I56" s="20">
        <f t="shared" si="19"/>
        <v>12.5938599</v>
      </c>
      <c r="J56" s="20">
        <f t="shared" si="19"/>
        <v>5.509400962</v>
      </c>
      <c r="K56" s="20">
        <f t="shared" si="19"/>
        <v>19.83082707</v>
      </c>
      <c r="L56" s="20">
        <f t="shared" si="19"/>
        <v>13.48788198</v>
      </c>
      <c r="M56" s="20">
        <f t="shared" si="19"/>
        <v>0.288184438</v>
      </c>
      <c r="N56" s="20">
        <f t="shared" si="19"/>
        <v>5.306960657</v>
      </c>
      <c r="O56" s="20" t="str">
        <f t="shared" si="19"/>
        <v>#VALUE!</v>
      </c>
      <c r="P56" s="20">
        <f t="shared" si="19"/>
        <v>11.00671141</v>
      </c>
      <c r="Q56" s="20">
        <f t="shared" si="19"/>
        <v>1.181560992</v>
      </c>
      <c r="R56" s="20">
        <f t="shared" si="19"/>
        <v>8.056112224</v>
      </c>
      <c r="S56" s="20">
        <f t="shared" si="19"/>
        <v>5.621905039</v>
      </c>
      <c r="T56" s="20">
        <f t="shared" si="19"/>
        <v>19.43992185</v>
      </c>
      <c r="U56" s="20">
        <f t="shared" si="19"/>
        <v>12.19887237</v>
      </c>
      <c r="V56" s="20">
        <f t="shared" si="19"/>
        <v>5.594148565</v>
      </c>
      <c r="W56" s="18"/>
      <c r="X56" s="18"/>
      <c r="Y56" s="18"/>
      <c r="Z56" s="18"/>
      <c r="AA56" s="18"/>
      <c r="AC56" s="29"/>
      <c r="AD56" s="21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BC56" s="20"/>
      <c r="BD56" s="20"/>
    </row>
    <row r="57" ht="15.75" customHeight="1">
      <c r="B57" s="19" t="s">
        <v>37</v>
      </c>
      <c r="C57" s="20">
        <f t="shared" ref="C57:V57" si="20">(C68/C71)*100</f>
        <v>2.518650332</v>
      </c>
      <c r="D57" s="20">
        <f t="shared" si="20"/>
        <v>22.59102208</v>
      </c>
      <c r="E57" s="20">
        <f t="shared" si="20"/>
        <v>6.609579877</v>
      </c>
      <c r="F57" s="20">
        <f t="shared" si="20"/>
        <v>11.84448463</v>
      </c>
      <c r="G57" s="20">
        <f t="shared" si="20"/>
        <v>15.47437849</v>
      </c>
      <c r="H57" s="20">
        <f t="shared" si="20"/>
        <v>2.153149672</v>
      </c>
      <c r="I57" s="20">
        <f t="shared" si="20"/>
        <v>12.2231727</v>
      </c>
      <c r="J57" s="20">
        <f t="shared" si="20"/>
        <v>5.509400962</v>
      </c>
      <c r="K57" s="20">
        <f t="shared" si="20"/>
        <v>19.48621554</v>
      </c>
      <c r="L57" s="20">
        <f t="shared" si="20"/>
        <v>13.48788198</v>
      </c>
      <c r="M57" s="20">
        <f t="shared" si="20"/>
        <v>0</v>
      </c>
      <c r="N57" s="20">
        <f t="shared" si="20"/>
        <v>3.015564202</v>
      </c>
      <c r="O57" s="20">
        <f t="shared" si="20"/>
        <v>2.683226903</v>
      </c>
      <c r="P57" s="20">
        <f t="shared" si="20"/>
        <v>8.120805369</v>
      </c>
      <c r="Q57" s="20">
        <f t="shared" si="20"/>
        <v>0.5258778499</v>
      </c>
      <c r="R57" s="20">
        <f t="shared" si="20"/>
        <v>3.136272545</v>
      </c>
      <c r="S57" s="20">
        <f t="shared" si="20"/>
        <v>5.665598602</v>
      </c>
      <c r="T57" s="20">
        <f t="shared" si="20"/>
        <v>4.037772712</v>
      </c>
      <c r="U57" s="20">
        <f t="shared" si="20"/>
        <v>8.200922604</v>
      </c>
      <c r="V57" s="20">
        <f t="shared" si="20"/>
        <v>1.591502187</v>
      </c>
      <c r="W57" s="18"/>
      <c r="X57" s="18"/>
      <c r="Y57" s="18"/>
      <c r="Z57" s="18"/>
      <c r="AA57" s="18"/>
      <c r="AC57" s="29"/>
      <c r="AD57" s="21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BC57" s="20"/>
      <c r="BD57" s="20"/>
    </row>
    <row r="58" ht="15.75" customHeight="1">
      <c r="B58" s="19" t="s">
        <v>38</v>
      </c>
      <c r="C58" s="20">
        <f t="shared" ref="C58:V58" si="21">(C69/C71)*100</f>
        <v>0.5817534734</v>
      </c>
      <c r="D58" s="20">
        <f t="shared" si="21"/>
        <v>8.217575669</v>
      </c>
      <c r="E58" s="20">
        <f t="shared" si="21"/>
        <v>11.61359379</v>
      </c>
      <c r="F58" s="20">
        <f t="shared" si="21"/>
        <v>16.83544304</v>
      </c>
      <c r="G58" s="20">
        <f t="shared" si="21"/>
        <v>12.5909014</v>
      </c>
      <c r="H58" s="20">
        <f t="shared" si="21"/>
        <v>2.153149672</v>
      </c>
      <c r="I58" s="20">
        <f t="shared" si="21"/>
        <v>12.4322783</v>
      </c>
      <c r="J58" s="20">
        <f t="shared" si="21"/>
        <v>5.553126366</v>
      </c>
      <c r="K58" s="20">
        <f t="shared" si="21"/>
        <v>19.17293233</v>
      </c>
      <c r="L58" s="20">
        <f t="shared" si="21"/>
        <v>0</v>
      </c>
      <c r="M58" s="20">
        <f t="shared" si="21"/>
        <v>0.1047943411</v>
      </c>
      <c r="N58" s="20">
        <f t="shared" si="21"/>
        <v>12.46757458</v>
      </c>
      <c r="O58" s="20">
        <f t="shared" si="21"/>
        <v>4.370496221</v>
      </c>
      <c r="P58" s="20">
        <f t="shared" si="21"/>
        <v>3.11409396</v>
      </c>
      <c r="Q58" s="20">
        <f t="shared" si="21"/>
        <v>0.6257280746</v>
      </c>
      <c r="R58" s="20">
        <f t="shared" si="21"/>
        <v>6.472945892</v>
      </c>
      <c r="S58" s="20">
        <f t="shared" si="21"/>
        <v>4.194581998</v>
      </c>
      <c r="T58" s="20">
        <f t="shared" si="21"/>
        <v>15.72777597</v>
      </c>
      <c r="U58" s="20">
        <f t="shared" si="21"/>
        <v>12.81394157</v>
      </c>
      <c r="V58" s="20" t="str">
        <f t="shared" si="21"/>
        <v>#VALUE!</v>
      </c>
      <c r="W58" s="18"/>
      <c r="X58" s="18"/>
      <c r="Y58" s="18"/>
      <c r="Z58" s="18"/>
      <c r="AA58" s="18"/>
      <c r="AC58" s="29"/>
      <c r="AD58" s="21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BC58" s="20"/>
      <c r="BD58" s="20"/>
    </row>
    <row r="59" ht="15.75" customHeight="1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18"/>
      <c r="X59" s="18"/>
      <c r="Y59" s="18"/>
      <c r="Z59" s="18"/>
      <c r="AA59" s="18"/>
      <c r="AC59" s="29"/>
      <c r="AD59" s="30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BC59" s="3"/>
      <c r="BD59" s="3"/>
    </row>
    <row r="60" ht="15.75" customHeight="1">
      <c r="B60" s="32" t="s">
        <v>47</v>
      </c>
      <c r="C60" s="3">
        <f t="shared" ref="C60:L60" si="22">MAX(C54:C58)</f>
        <v>11.75826432</v>
      </c>
      <c r="D60" s="3">
        <f t="shared" si="22"/>
        <v>29.68270215</v>
      </c>
      <c r="E60" s="3">
        <f t="shared" si="22"/>
        <v>11.61359379</v>
      </c>
      <c r="F60" s="3">
        <f t="shared" si="22"/>
        <v>23.8517179</v>
      </c>
      <c r="G60" s="3">
        <f t="shared" si="22"/>
        <v>18.42550313</v>
      </c>
      <c r="H60" s="3">
        <f t="shared" si="22"/>
        <v>11.24606636</v>
      </c>
      <c r="I60" s="3">
        <f t="shared" si="22"/>
        <v>13.56334949</v>
      </c>
      <c r="J60" s="3">
        <f t="shared" si="22"/>
        <v>9.204197639</v>
      </c>
      <c r="K60" s="3">
        <f t="shared" si="22"/>
        <v>23.02631579</v>
      </c>
      <c r="L60" s="3">
        <f t="shared" si="22"/>
        <v>14.80505796</v>
      </c>
      <c r="M60" s="3">
        <f>MAX(M55:M58)</f>
        <v>0.288184438</v>
      </c>
      <c r="N60" s="3">
        <f>MAX(N54:N58)</f>
        <v>12.46757458</v>
      </c>
      <c r="O60" s="3">
        <f>MAX(O55,O57:O58)</f>
        <v>6.590895776</v>
      </c>
      <c r="P60" s="3">
        <f t="shared" ref="P60:R60" si="23">MAX(P54:P58)</f>
        <v>11.00671141</v>
      </c>
      <c r="Q60" s="3">
        <f t="shared" si="23"/>
        <v>2.080213014</v>
      </c>
      <c r="R60" s="3">
        <f t="shared" si="23"/>
        <v>8.056112224</v>
      </c>
      <c r="S60" s="3">
        <f>MAX(S55:S58)</f>
        <v>6.044276143</v>
      </c>
      <c r="T60" s="3">
        <f t="shared" ref="T60:U60" si="24">MAX(T54:T58)</f>
        <v>19.43992185</v>
      </c>
      <c r="U60" s="3">
        <f t="shared" si="24"/>
        <v>12.81394157</v>
      </c>
      <c r="V60" s="3">
        <f>MAX(V54:V57)</f>
        <v>5.594148565</v>
      </c>
      <c r="W60" s="18"/>
      <c r="X60" s="18"/>
      <c r="Y60" s="18"/>
      <c r="Z60" s="18"/>
      <c r="AA60" s="18"/>
      <c r="AC60" s="29"/>
      <c r="AD60" s="30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BC60" s="3"/>
      <c r="BD60" s="3"/>
    </row>
    <row r="61" ht="15.75" customHeight="1">
      <c r="B61" s="32" t="s">
        <v>48</v>
      </c>
      <c r="C61" s="32">
        <f t="shared" ref="C61:L61" si="25">min(C54:C58)</f>
        <v>0.5817534734</v>
      </c>
      <c r="D61" s="32">
        <f t="shared" si="25"/>
        <v>8.217575669</v>
      </c>
      <c r="E61" s="32">
        <f t="shared" si="25"/>
        <v>6.609579877</v>
      </c>
      <c r="F61" s="32">
        <f t="shared" si="25"/>
        <v>11.01265823</v>
      </c>
      <c r="G61" s="32">
        <f t="shared" si="25"/>
        <v>11.95670556</v>
      </c>
      <c r="H61" s="32">
        <f t="shared" si="25"/>
        <v>2.153149672</v>
      </c>
      <c r="I61" s="32">
        <f t="shared" si="25"/>
        <v>11.57684631</v>
      </c>
      <c r="J61" s="32">
        <f t="shared" si="25"/>
        <v>5.509400962</v>
      </c>
      <c r="K61" s="32">
        <f t="shared" si="25"/>
        <v>19.17293233</v>
      </c>
      <c r="L61" s="32">
        <f t="shared" si="25"/>
        <v>0</v>
      </c>
      <c r="M61" s="32">
        <f>min(M55:M58)</f>
        <v>0</v>
      </c>
      <c r="N61" s="32">
        <f>min(N54:N58)</f>
        <v>3.015564202</v>
      </c>
      <c r="O61" s="32">
        <f>min(O55,O57:O58)</f>
        <v>2.683226903</v>
      </c>
      <c r="P61" s="32">
        <f t="shared" ref="P61:R61" si="26">min(P54:P58)</f>
        <v>1.66442953</v>
      </c>
      <c r="Q61" s="32">
        <f t="shared" si="26"/>
        <v>0.3328340822</v>
      </c>
      <c r="R61" s="32">
        <f t="shared" si="26"/>
        <v>3.136272545</v>
      </c>
      <c r="S61" s="32">
        <f>min(S55:S58)</f>
        <v>4.194581998</v>
      </c>
      <c r="T61" s="32">
        <f t="shared" ref="T61:U61" si="27">min(T54:T58)</f>
        <v>0.976880495</v>
      </c>
      <c r="U61" s="32">
        <f t="shared" si="27"/>
        <v>8.200922604</v>
      </c>
      <c r="V61" s="32">
        <f>min(V54:V57)</f>
        <v>0.1506965119</v>
      </c>
      <c r="W61" s="18"/>
      <c r="X61" s="18"/>
      <c r="Y61" s="18"/>
      <c r="Z61" s="18"/>
      <c r="AA61" s="18"/>
      <c r="AC61" s="29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</row>
    <row r="62" ht="15.75" customHeight="1">
      <c r="B62" s="32" t="s">
        <v>49</v>
      </c>
      <c r="C62" s="3">
        <f t="shared" ref="C62:L62" si="28">AVERAGE(C54:C58)</f>
        <v>3.994250907</v>
      </c>
      <c r="D62" s="3">
        <f t="shared" si="28"/>
        <v>18.74250621</v>
      </c>
      <c r="E62" s="3">
        <f t="shared" si="28"/>
        <v>8.806529302</v>
      </c>
      <c r="F62" s="3">
        <f t="shared" si="28"/>
        <v>15.16094033</v>
      </c>
      <c r="G62" s="3">
        <f t="shared" si="28"/>
        <v>15.32217149</v>
      </c>
      <c r="H62" s="3">
        <f t="shared" si="28"/>
        <v>6.53232485</v>
      </c>
      <c r="I62" s="3">
        <f t="shared" si="28"/>
        <v>12.47790134</v>
      </c>
      <c r="J62" s="3">
        <f t="shared" si="28"/>
        <v>6.257105378</v>
      </c>
      <c r="K62" s="3">
        <f t="shared" si="28"/>
        <v>20.16917293</v>
      </c>
      <c r="L62" s="3">
        <f t="shared" si="28"/>
        <v>8.356164384</v>
      </c>
      <c r="M62" s="3">
        <f>AVERAGE(M55:M58)</f>
        <v>0.1702908043</v>
      </c>
      <c r="N62" s="3">
        <f>AVERAGE(N54:N58)</f>
        <v>6.030047557</v>
      </c>
      <c r="O62" s="3">
        <f>AVERAGE(O55,O57:O58)</f>
        <v>4.5482063</v>
      </c>
      <c r="P62" s="3">
        <f t="shared" ref="P62:R62" si="29">AVERAGE(P54:P58)</f>
        <v>6.166442953</v>
      </c>
      <c r="Q62" s="3">
        <f t="shared" si="29"/>
        <v>0.9492428025</v>
      </c>
      <c r="R62" s="3">
        <f t="shared" si="29"/>
        <v>5.138276553</v>
      </c>
      <c r="S62" s="3">
        <f>AVERAGE(S55:S58)</f>
        <v>5.381590446</v>
      </c>
      <c r="T62" s="3">
        <f t="shared" ref="T62:U62" si="30">AVERAGE(T54:T58)</f>
        <v>8.844024748</v>
      </c>
      <c r="U62" s="3">
        <f t="shared" si="30"/>
        <v>11.06099436</v>
      </c>
      <c r="V62" s="3">
        <f>AVERAGE(V54:V57)</f>
        <v>3.058955416</v>
      </c>
      <c r="W62" s="17">
        <f t="shared" ref="W62:W63" si="34">AVERAGE(C62:V62)</f>
        <v>8.358356953</v>
      </c>
      <c r="X62" s="17">
        <f t="shared" ref="X62:X63" si="35">STDEV(C62:V62)</f>
        <v>5.56113563</v>
      </c>
      <c r="Y62" s="17"/>
      <c r="Z62" s="17"/>
      <c r="AA62" s="18">
        <f>100-W62</f>
        <v>91.64164305</v>
      </c>
      <c r="AC62" s="29"/>
      <c r="AD62" s="30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32" t="str">
        <f t="shared" ref="AY62:AY63" si="36">AVERAGE(AE62:AX62)</f>
        <v>#DIV/0!</v>
      </c>
      <c r="AZ62" s="32" t="str">
        <f t="shared" ref="AZ62:AZ63" si="37">STDEV(AE62:AX62)</f>
        <v>#DIV/0!</v>
      </c>
      <c r="BA62" s="17" t="str">
        <f>100-AY62</f>
        <v>#DIV/0!</v>
      </c>
      <c r="BC62" s="3"/>
      <c r="BD62" s="3"/>
    </row>
    <row r="63" ht="15.75" customHeight="1">
      <c r="B63" s="32" t="s">
        <v>50</v>
      </c>
      <c r="C63" s="3">
        <f t="shared" ref="C63:L63" si="31">STDEV(C54:C58)</f>
        <v>4.422662714</v>
      </c>
      <c r="D63" s="3">
        <f t="shared" si="31"/>
        <v>8.649443773</v>
      </c>
      <c r="E63" s="3">
        <f t="shared" si="31"/>
        <v>2.209849622</v>
      </c>
      <c r="F63" s="3">
        <f t="shared" si="31"/>
        <v>5.360826516</v>
      </c>
      <c r="G63" s="3">
        <f t="shared" si="31"/>
        <v>3.021275966</v>
      </c>
      <c r="H63" s="3">
        <f t="shared" si="31"/>
        <v>4.500430574</v>
      </c>
      <c r="I63" s="3">
        <f t="shared" si="31"/>
        <v>0.7194637568</v>
      </c>
      <c r="J63" s="3">
        <f t="shared" si="31"/>
        <v>1.647583452</v>
      </c>
      <c r="K63" s="3">
        <f t="shared" si="31"/>
        <v>1.615672913</v>
      </c>
      <c r="L63" s="3">
        <f t="shared" si="31"/>
        <v>7.647029582</v>
      </c>
      <c r="M63" s="3">
        <f>STDEV(M55:M58)</f>
        <v>0.1426961369</v>
      </c>
      <c r="N63" s="3">
        <f>STDEV(N54:N58)</f>
        <v>3.841162661</v>
      </c>
      <c r="O63" s="3">
        <f>STDEV(O55,O57:O58)</f>
        <v>1.95988639</v>
      </c>
      <c r="P63" s="3">
        <f t="shared" ref="P63:R63" si="32">STDEV(P54:P58)</f>
        <v>3.788465469</v>
      </c>
      <c r="Q63" s="3">
        <f t="shared" si="32"/>
        <v>0.7065629365</v>
      </c>
      <c r="R63" s="3">
        <f t="shared" si="32"/>
        <v>2.05378315</v>
      </c>
      <c r="S63" s="3">
        <f>STDEV(S55:S58)</f>
        <v>0.8137471198</v>
      </c>
      <c r="T63" s="3">
        <f t="shared" ref="T63:U63" si="33">STDEV(T54:T58)</f>
        <v>8.181551537</v>
      </c>
      <c r="U63" s="3">
        <f t="shared" si="33"/>
        <v>1.782345114</v>
      </c>
      <c r="V63" s="3">
        <f>STDEV(V54:V57)</f>
        <v>2.609348786</v>
      </c>
      <c r="W63" s="17">
        <f t="shared" si="34"/>
        <v>3.283689408</v>
      </c>
      <c r="X63" s="17">
        <f t="shared" si="35"/>
        <v>2.526857835</v>
      </c>
      <c r="Y63" s="18"/>
      <c r="Z63" s="18"/>
      <c r="AA63" s="18"/>
      <c r="AC63" s="29"/>
      <c r="AD63" s="30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32" t="str">
        <f t="shared" si="36"/>
        <v>#DIV/0!</v>
      </c>
      <c r="AZ63" s="32" t="str">
        <f t="shared" si="37"/>
        <v>#DIV/0!</v>
      </c>
      <c r="BC63" s="3"/>
      <c r="BD63" s="3"/>
    </row>
    <row r="64" ht="15.75" customHeight="1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18"/>
      <c r="X64" s="18"/>
      <c r="Y64" s="18"/>
      <c r="Z64" s="18"/>
      <c r="AA64" s="18"/>
      <c r="AC64" s="30"/>
      <c r="AD64" s="30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BC64" s="3"/>
      <c r="BD64" s="3"/>
    </row>
    <row r="65" ht="15.75" customHeight="1">
      <c r="A65" s="31" t="s">
        <v>51</v>
      </c>
      <c r="B65" s="19" t="s">
        <v>34</v>
      </c>
      <c r="C65" s="20">
        <v>378.0</v>
      </c>
      <c r="D65" s="20">
        <v>812.0</v>
      </c>
      <c r="E65" s="20">
        <v>801.0</v>
      </c>
      <c r="F65" s="3">
        <v>1319.0</v>
      </c>
      <c r="G65" s="20">
        <v>2179.0</v>
      </c>
      <c r="H65" s="3">
        <v>1101.0</v>
      </c>
      <c r="I65" s="20">
        <v>1218.0</v>
      </c>
      <c r="J65" s="20">
        <v>421.0</v>
      </c>
      <c r="K65" s="20">
        <v>617.0</v>
      </c>
      <c r="L65" s="20">
        <v>0.0</v>
      </c>
      <c r="M65" s="36" t="s">
        <v>59</v>
      </c>
      <c r="N65" s="20">
        <v>1138.0</v>
      </c>
      <c r="O65" s="37" t="s">
        <v>59</v>
      </c>
      <c r="P65" s="20">
        <v>124.0</v>
      </c>
      <c r="Q65" s="3">
        <v>100.0</v>
      </c>
      <c r="R65" s="20">
        <v>414.0</v>
      </c>
      <c r="S65" s="37" t="s">
        <v>59</v>
      </c>
      <c r="T65" s="20">
        <v>30.0</v>
      </c>
      <c r="U65" s="20">
        <v>210.0</v>
      </c>
      <c r="V65" s="3">
        <v>1333.0</v>
      </c>
      <c r="W65" s="18"/>
      <c r="X65" s="18"/>
      <c r="Y65" s="18"/>
      <c r="Z65" s="18"/>
      <c r="AA65" s="18"/>
      <c r="AC65" s="29"/>
      <c r="AD65" s="21"/>
      <c r="AE65" s="22"/>
      <c r="AF65" s="22"/>
      <c r="AG65" s="22"/>
      <c r="AH65" s="2"/>
      <c r="AI65" s="22"/>
      <c r="AJ65" s="2"/>
      <c r="AK65" s="22"/>
      <c r="AL65" s="22"/>
      <c r="AM65" s="22"/>
      <c r="AN65" s="22"/>
      <c r="AO65" s="38"/>
      <c r="AP65" s="22"/>
      <c r="AQ65" s="22"/>
      <c r="AR65" s="22"/>
      <c r="AS65" s="2"/>
      <c r="AT65" s="22"/>
      <c r="AU65" s="22"/>
      <c r="AV65" s="22"/>
      <c r="AW65" s="22"/>
      <c r="AX65" s="2"/>
      <c r="BC65" s="3"/>
      <c r="BD65" s="3"/>
    </row>
    <row r="66" ht="15.75" customHeight="1">
      <c r="B66" s="19" t="s">
        <v>35</v>
      </c>
      <c r="C66" s="20">
        <v>1718.0</v>
      </c>
      <c r="D66" s="20">
        <v>2030.0</v>
      </c>
      <c r="E66" s="20">
        <v>564.0</v>
      </c>
      <c r="F66" s="3">
        <v>609.0</v>
      </c>
      <c r="G66" s="20">
        <v>1414.0</v>
      </c>
      <c r="H66" s="3">
        <v>1998.0</v>
      </c>
      <c r="I66" s="20">
        <v>1427.0</v>
      </c>
      <c r="J66" s="20">
        <v>252.0</v>
      </c>
      <c r="K66" s="20">
        <v>735.0</v>
      </c>
      <c r="L66" s="20">
        <v>281.0</v>
      </c>
      <c r="M66" s="20">
        <v>11.0</v>
      </c>
      <c r="N66" s="20">
        <v>594.0</v>
      </c>
      <c r="O66" s="20">
        <v>1125.0</v>
      </c>
      <c r="P66" s="20">
        <v>516.0</v>
      </c>
      <c r="Q66" s="3">
        <v>625.0</v>
      </c>
      <c r="R66" s="20">
        <v>387.0</v>
      </c>
      <c r="S66" s="20">
        <v>415.0</v>
      </c>
      <c r="T66" s="20">
        <v>124.0</v>
      </c>
      <c r="U66" s="20">
        <v>221.0</v>
      </c>
      <c r="V66" s="3">
        <v>41.0</v>
      </c>
      <c r="W66" s="18"/>
      <c r="X66" s="18"/>
      <c r="Y66" s="18"/>
      <c r="Z66" s="18"/>
      <c r="AA66" s="18"/>
      <c r="AC66" s="29"/>
      <c r="AD66" s="21"/>
      <c r="AE66" s="22"/>
      <c r="AF66" s="22"/>
      <c r="AG66" s="22"/>
      <c r="AH66" s="2"/>
      <c r="AI66" s="22"/>
      <c r="AJ66" s="2"/>
      <c r="AK66" s="22"/>
      <c r="AL66" s="22"/>
      <c r="AM66" s="22"/>
      <c r="AN66" s="22"/>
      <c r="AO66" s="22"/>
      <c r="AP66" s="22"/>
      <c r="AQ66" s="22"/>
      <c r="AR66" s="22"/>
      <c r="AS66" s="2"/>
      <c r="AT66" s="22"/>
      <c r="AU66" s="22"/>
      <c r="AV66" s="22"/>
      <c r="AW66" s="22"/>
      <c r="AX66" s="2"/>
      <c r="BC66" s="3"/>
      <c r="BD66" s="3"/>
    </row>
    <row r="67" ht="15.75" customHeight="1">
      <c r="B67" s="19" t="s">
        <v>36</v>
      </c>
      <c r="C67" s="20">
        <v>369.0</v>
      </c>
      <c r="D67" s="20">
        <v>1460.0</v>
      </c>
      <c r="E67" s="20">
        <v>564.0</v>
      </c>
      <c r="F67" s="3">
        <v>678.0</v>
      </c>
      <c r="G67" s="20">
        <v>2148.0</v>
      </c>
      <c r="H67" s="3">
        <v>2037.0</v>
      </c>
      <c r="I67" s="20">
        <v>1325.0</v>
      </c>
      <c r="J67" s="20">
        <v>252.0</v>
      </c>
      <c r="K67" s="20">
        <v>633.0</v>
      </c>
      <c r="L67" s="20">
        <v>256.0</v>
      </c>
      <c r="M67" s="20">
        <v>11.0</v>
      </c>
      <c r="N67" s="20">
        <v>982.0</v>
      </c>
      <c r="O67" s="37" t="s">
        <v>59</v>
      </c>
      <c r="P67" s="20">
        <v>820.0</v>
      </c>
      <c r="Q67" s="3">
        <v>355.0</v>
      </c>
      <c r="R67" s="20">
        <v>804.0</v>
      </c>
      <c r="S67" s="20">
        <v>386.0</v>
      </c>
      <c r="T67" s="20">
        <v>597.0</v>
      </c>
      <c r="U67" s="20">
        <v>238.0</v>
      </c>
      <c r="V67" s="3">
        <v>1522.0</v>
      </c>
      <c r="W67" s="18"/>
      <c r="X67" s="18"/>
      <c r="Y67" s="18"/>
      <c r="Z67" s="18"/>
      <c r="AA67" s="18"/>
      <c r="AC67" s="29"/>
      <c r="AD67" s="21"/>
      <c r="AE67" s="22"/>
      <c r="AF67" s="22"/>
      <c r="AG67" s="22"/>
      <c r="AH67" s="2"/>
      <c r="AI67" s="22"/>
      <c r="AJ67" s="2"/>
      <c r="AK67" s="22"/>
      <c r="AL67" s="22"/>
      <c r="AM67" s="22"/>
      <c r="AN67" s="22"/>
      <c r="AO67" s="22"/>
      <c r="AP67" s="22"/>
      <c r="AQ67" s="22"/>
      <c r="AR67" s="22"/>
      <c r="AS67" s="2"/>
      <c r="AT67" s="22"/>
      <c r="AU67" s="22"/>
      <c r="AV67" s="22"/>
      <c r="AW67" s="22"/>
      <c r="AX67" s="2"/>
      <c r="BC67" s="3"/>
      <c r="BD67" s="3"/>
    </row>
    <row r="68" ht="15.75" customHeight="1">
      <c r="B68" s="19" t="s">
        <v>37</v>
      </c>
      <c r="C68" s="20">
        <v>368.0</v>
      </c>
      <c r="D68" s="20">
        <v>1545.0</v>
      </c>
      <c r="E68" s="20">
        <v>494.0</v>
      </c>
      <c r="F68" s="3">
        <v>655.0</v>
      </c>
      <c r="G68" s="20">
        <v>1830.0</v>
      </c>
      <c r="H68" s="3">
        <v>390.0</v>
      </c>
      <c r="I68" s="20">
        <v>1286.0</v>
      </c>
      <c r="J68" s="20">
        <v>252.0</v>
      </c>
      <c r="K68" s="20">
        <v>622.0</v>
      </c>
      <c r="L68" s="20">
        <v>256.0</v>
      </c>
      <c r="M68" s="20">
        <v>0.0</v>
      </c>
      <c r="N68" s="20">
        <v>558.0</v>
      </c>
      <c r="O68" s="20">
        <v>458.0</v>
      </c>
      <c r="P68" s="20">
        <v>605.0</v>
      </c>
      <c r="Q68" s="3">
        <v>158.0</v>
      </c>
      <c r="R68" s="20">
        <v>313.0</v>
      </c>
      <c r="S68" s="20">
        <v>389.0</v>
      </c>
      <c r="T68" s="20">
        <v>124.0</v>
      </c>
      <c r="U68" s="20">
        <v>160.0</v>
      </c>
      <c r="V68" s="3">
        <v>433.0</v>
      </c>
      <c r="W68" s="18"/>
      <c r="X68" s="18"/>
      <c r="Y68" s="18"/>
      <c r="Z68" s="18"/>
      <c r="AA68" s="18"/>
      <c r="AC68" s="29"/>
      <c r="AD68" s="21"/>
      <c r="AE68" s="22"/>
      <c r="AF68" s="22"/>
      <c r="AG68" s="22"/>
      <c r="AH68" s="2"/>
      <c r="AI68" s="22"/>
      <c r="AJ68" s="2"/>
      <c r="AK68" s="22"/>
      <c r="AL68" s="22"/>
      <c r="AM68" s="22"/>
      <c r="AN68" s="22"/>
      <c r="AO68" s="22"/>
      <c r="AP68" s="22"/>
      <c r="AQ68" s="22"/>
      <c r="AR68" s="22"/>
      <c r="AS68" s="2"/>
      <c r="AT68" s="22"/>
      <c r="AU68" s="22"/>
      <c r="AV68" s="22"/>
      <c r="AW68" s="22"/>
      <c r="AX68" s="2"/>
      <c r="BC68" s="3"/>
      <c r="BD68" s="3"/>
    </row>
    <row r="69" ht="15.75" customHeight="1">
      <c r="B69" s="19" t="s">
        <v>38</v>
      </c>
      <c r="C69" s="20">
        <v>85.0</v>
      </c>
      <c r="D69" s="20">
        <v>562.0</v>
      </c>
      <c r="E69" s="20">
        <v>868.0</v>
      </c>
      <c r="F69" s="3">
        <v>931.0</v>
      </c>
      <c r="G69" s="20">
        <v>1489.0</v>
      </c>
      <c r="H69" s="3">
        <v>390.0</v>
      </c>
      <c r="I69" s="20">
        <v>1308.0</v>
      </c>
      <c r="J69" s="20">
        <v>254.0</v>
      </c>
      <c r="K69" s="20">
        <v>612.0</v>
      </c>
      <c r="L69" s="20">
        <v>0.0</v>
      </c>
      <c r="M69" s="20">
        <v>4.0</v>
      </c>
      <c r="N69" s="20">
        <v>2307.0</v>
      </c>
      <c r="O69" s="20">
        <v>746.0</v>
      </c>
      <c r="P69" s="20">
        <v>232.0</v>
      </c>
      <c r="Q69" s="3">
        <v>188.0</v>
      </c>
      <c r="R69" s="20">
        <v>646.0</v>
      </c>
      <c r="S69" s="20">
        <v>288.0</v>
      </c>
      <c r="T69" s="20">
        <v>483.0</v>
      </c>
      <c r="U69" s="20">
        <v>250.0</v>
      </c>
      <c r="V69" s="39" t="s">
        <v>59</v>
      </c>
      <c r="W69" s="18"/>
      <c r="X69" s="18"/>
      <c r="Y69" s="18"/>
      <c r="Z69" s="18"/>
      <c r="AA69" s="18"/>
      <c r="AC69" s="29"/>
      <c r="AD69" s="21"/>
      <c r="AE69" s="22"/>
      <c r="AF69" s="22"/>
      <c r="AG69" s="22"/>
      <c r="AH69" s="2"/>
      <c r="AI69" s="22"/>
      <c r="AJ69" s="2"/>
      <c r="AK69" s="22"/>
      <c r="AL69" s="22"/>
      <c r="AM69" s="22"/>
      <c r="AN69" s="22"/>
      <c r="AO69" s="22"/>
      <c r="AP69" s="22"/>
      <c r="AQ69" s="22"/>
      <c r="AR69" s="22"/>
      <c r="AS69" s="2"/>
      <c r="AT69" s="22"/>
      <c r="AU69" s="22"/>
      <c r="AV69" s="22"/>
      <c r="AW69" s="22"/>
      <c r="AX69" s="2"/>
      <c r="BC69" s="39"/>
      <c r="BD69" s="39"/>
    </row>
    <row r="70" ht="15.75" customHeight="1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18"/>
      <c r="X70" s="18"/>
      <c r="Y70" s="18"/>
      <c r="Z70" s="18"/>
      <c r="AA70" s="18"/>
      <c r="AC70" s="30"/>
      <c r="AD70" s="30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BC70" s="3"/>
      <c r="BD70" s="3"/>
    </row>
    <row r="71" ht="15.75" customHeight="1">
      <c r="A71" s="32" t="s">
        <v>52</v>
      </c>
      <c r="C71" s="3">
        <v>14611.0</v>
      </c>
      <c r="D71" s="3">
        <v>6839.0</v>
      </c>
      <c r="E71" s="3">
        <v>7474.0</v>
      </c>
      <c r="F71" s="3">
        <v>5530.0</v>
      </c>
      <c r="G71" s="3">
        <v>11826.0</v>
      </c>
      <c r="H71" s="3">
        <v>18113.0</v>
      </c>
      <c r="I71" s="3">
        <v>10521.0</v>
      </c>
      <c r="J71" s="3">
        <v>4574.0</v>
      </c>
      <c r="K71" s="3">
        <v>3192.0</v>
      </c>
      <c r="L71" s="3">
        <v>1898.0</v>
      </c>
      <c r="M71" s="3">
        <v>3817.0</v>
      </c>
      <c r="N71" s="3">
        <v>18504.0</v>
      </c>
      <c r="O71" s="3">
        <v>17069.0</v>
      </c>
      <c r="P71" s="3">
        <v>7450.0</v>
      </c>
      <c r="Q71" s="3">
        <v>30045.0</v>
      </c>
      <c r="R71" s="3">
        <v>9980.0</v>
      </c>
      <c r="S71" s="3">
        <v>6866.0</v>
      </c>
      <c r="T71" s="3">
        <v>3071.0</v>
      </c>
      <c r="U71" s="3">
        <v>1951.0</v>
      </c>
      <c r="V71" s="3">
        <v>27207.0</v>
      </c>
      <c r="W71" s="18"/>
      <c r="X71" s="18"/>
      <c r="Y71" s="18"/>
      <c r="Z71" s="18"/>
      <c r="AA71" s="18"/>
      <c r="AC71" s="30"/>
      <c r="AD71" s="30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BC71" s="3"/>
      <c r="BD71" s="3"/>
    </row>
    <row r="72" ht="15.75" customHeight="1">
      <c r="W72" s="18"/>
      <c r="X72" s="18"/>
      <c r="Y72" s="18"/>
      <c r="Z72" s="18"/>
      <c r="AA72" s="18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</row>
    <row r="73" ht="15.75" customHeight="1">
      <c r="A73" s="33" t="s">
        <v>60</v>
      </c>
      <c r="W73" s="16"/>
      <c r="X73" s="16"/>
      <c r="Y73" s="18"/>
      <c r="Z73" s="18"/>
      <c r="AA73" s="18"/>
      <c r="AC73" s="5"/>
      <c r="AY73" s="3"/>
      <c r="AZ73" s="3"/>
      <c r="BC73" s="33"/>
      <c r="BD73" s="33"/>
    </row>
    <row r="74" ht="15.75" customHeight="1">
      <c r="A74" s="3"/>
      <c r="B74" s="2"/>
      <c r="C74" s="2" t="s">
        <v>13</v>
      </c>
      <c r="D74" s="2" t="s">
        <v>14</v>
      </c>
      <c r="E74" s="2" t="s">
        <v>15</v>
      </c>
      <c r="F74" s="2" t="s">
        <v>16</v>
      </c>
      <c r="G74" s="2" t="s">
        <v>17</v>
      </c>
      <c r="H74" s="2" t="s">
        <v>18</v>
      </c>
      <c r="I74" s="2" t="s">
        <v>19</v>
      </c>
      <c r="J74" s="2" t="s">
        <v>20</v>
      </c>
      <c r="K74" s="2" t="s">
        <v>21</v>
      </c>
      <c r="L74" s="2" t="s">
        <v>22</v>
      </c>
      <c r="M74" s="2" t="s">
        <v>23</v>
      </c>
      <c r="N74" s="2" t="s">
        <v>24</v>
      </c>
      <c r="O74" s="2" t="s">
        <v>25</v>
      </c>
      <c r="P74" s="2" t="s">
        <v>26</v>
      </c>
      <c r="Q74" s="2" t="s">
        <v>27</v>
      </c>
      <c r="R74" s="2" t="s">
        <v>28</v>
      </c>
      <c r="S74" s="2" t="s">
        <v>29</v>
      </c>
      <c r="T74" s="2" t="s">
        <v>30</v>
      </c>
      <c r="U74" s="2" t="s">
        <v>31</v>
      </c>
      <c r="V74" s="2" t="s">
        <v>32</v>
      </c>
      <c r="W74" s="16"/>
      <c r="X74" s="16"/>
      <c r="Y74" s="17"/>
      <c r="Z74" s="17"/>
      <c r="AA74" s="18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3" t="s">
        <v>54</v>
      </c>
      <c r="AZ74" s="3" t="s">
        <v>55</v>
      </c>
      <c r="BA74" s="32" t="s">
        <v>56</v>
      </c>
      <c r="BC74" s="3"/>
      <c r="BD74" s="3"/>
    </row>
    <row r="75" ht="15.75" customHeight="1">
      <c r="A75" s="25" t="s">
        <v>33</v>
      </c>
      <c r="B75" s="25" t="s">
        <v>34</v>
      </c>
      <c r="C75" s="20">
        <v>0.0</v>
      </c>
      <c r="D75" s="20">
        <v>1.0</v>
      </c>
      <c r="E75" s="20">
        <v>1.0</v>
      </c>
      <c r="F75" s="20">
        <v>1.0</v>
      </c>
      <c r="G75" s="20">
        <v>1.0</v>
      </c>
      <c r="H75" s="20">
        <v>1.0</v>
      </c>
      <c r="I75" s="20">
        <v>1.0</v>
      </c>
      <c r="J75" s="20">
        <v>1.0</v>
      </c>
      <c r="K75" s="20">
        <v>1.0</v>
      </c>
      <c r="L75" s="20">
        <v>1.0</v>
      </c>
      <c r="M75" s="20">
        <v>1.0</v>
      </c>
      <c r="N75" s="20">
        <v>1.0</v>
      </c>
      <c r="O75" s="20">
        <v>1.0</v>
      </c>
      <c r="P75" s="20">
        <v>1.0</v>
      </c>
      <c r="Q75" s="20">
        <v>1.0</v>
      </c>
      <c r="R75" s="20">
        <v>1.0</v>
      </c>
      <c r="S75" s="20">
        <v>1.0</v>
      </c>
      <c r="T75" s="20">
        <v>1.0</v>
      </c>
      <c r="U75" s="20">
        <v>1.0</v>
      </c>
      <c r="V75" s="20">
        <v>1.0</v>
      </c>
      <c r="W75" s="16"/>
      <c r="X75" s="16"/>
      <c r="Y75" s="18"/>
      <c r="Z75" s="18"/>
      <c r="AA75" s="18"/>
      <c r="AC75" s="27"/>
      <c r="AD75" s="27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3"/>
      <c r="AZ75" s="3"/>
      <c r="BC75" s="20"/>
      <c r="BD75" s="20"/>
    </row>
    <row r="76" ht="15.75" customHeight="1">
      <c r="B76" s="25" t="s">
        <v>35</v>
      </c>
      <c r="C76" s="20">
        <v>0.0</v>
      </c>
      <c r="D76" s="20">
        <v>1.0</v>
      </c>
      <c r="E76" s="20">
        <v>1.0</v>
      </c>
      <c r="F76" s="20">
        <v>1.0</v>
      </c>
      <c r="G76" s="20">
        <v>1.0</v>
      </c>
      <c r="H76" s="20">
        <v>1.0</v>
      </c>
      <c r="I76" s="20">
        <v>1.0</v>
      </c>
      <c r="J76" s="20">
        <v>1.0</v>
      </c>
      <c r="K76" s="20">
        <v>1.0</v>
      </c>
      <c r="L76" s="20">
        <v>1.0</v>
      </c>
      <c r="M76" s="20">
        <v>1.0</v>
      </c>
      <c r="N76" s="20">
        <v>1.0</v>
      </c>
      <c r="O76" s="20">
        <v>1.0</v>
      </c>
      <c r="P76" s="20">
        <v>1.0</v>
      </c>
      <c r="Q76" s="20">
        <v>1.0</v>
      </c>
      <c r="R76" s="20">
        <v>1.0</v>
      </c>
      <c r="S76" s="20">
        <v>1.0</v>
      </c>
      <c r="T76" s="20">
        <v>1.0</v>
      </c>
      <c r="U76" s="20">
        <v>1.0</v>
      </c>
      <c r="V76" s="20">
        <v>1.0</v>
      </c>
      <c r="W76" s="16"/>
      <c r="X76" s="16"/>
      <c r="Y76" s="18"/>
      <c r="Z76" s="18"/>
      <c r="AA76" s="18"/>
      <c r="AC76" s="27"/>
      <c r="AD76" s="27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3"/>
      <c r="AZ76" s="3"/>
      <c r="BC76" s="20"/>
      <c r="BD76" s="20"/>
    </row>
    <row r="77" ht="15.75" customHeight="1">
      <c r="B77" s="25" t="s">
        <v>36</v>
      </c>
      <c r="C77" s="20">
        <v>0.0</v>
      </c>
      <c r="D77" s="20">
        <v>1.0</v>
      </c>
      <c r="E77" s="20">
        <v>1.0</v>
      </c>
      <c r="F77" s="20">
        <v>1.0</v>
      </c>
      <c r="G77" s="20">
        <v>1.0</v>
      </c>
      <c r="H77" s="20">
        <v>1.0</v>
      </c>
      <c r="I77" s="20">
        <v>1.0</v>
      </c>
      <c r="J77" s="20">
        <v>1.0</v>
      </c>
      <c r="K77" s="20">
        <v>0.0</v>
      </c>
      <c r="L77" s="20">
        <v>1.0</v>
      </c>
      <c r="M77" s="20">
        <v>1.0</v>
      </c>
      <c r="N77" s="20">
        <v>1.0</v>
      </c>
      <c r="O77" s="20">
        <v>1.0</v>
      </c>
      <c r="P77" s="20">
        <v>1.0</v>
      </c>
      <c r="Q77" s="20">
        <v>1.0</v>
      </c>
      <c r="R77" s="20">
        <v>1.0</v>
      </c>
      <c r="S77" s="20">
        <v>1.0</v>
      </c>
      <c r="T77" s="20">
        <v>1.0</v>
      </c>
      <c r="U77" s="20">
        <v>1.0</v>
      </c>
      <c r="V77" s="20">
        <v>1.0</v>
      </c>
      <c r="W77" s="16"/>
      <c r="X77" s="16"/>
      <c r="Y77" s="18"/>
      <c r="Z77" s="18"/>
      <c r="AA77" s="18"/>
      <c r="AC77" s="27"/>
      <c r="AD77" s="27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3"/>
      <c r="AZ77" s="3"/>
      <c r="BC77" s="20"/>
      <c r="BD77" s="20"/>
    </row>
    <row r="78" ht="15.75" customHeight="1">
      <c r="B78" s="25" t="s">
        <v>37</v>
      </c>
      <c r="C78" s="20">
        <v>0.0</v>
      </c>
      <c r="D78" s="20">
        <v>1.0</v>
      </c>
      <c r="E78" s="20">
        <v>1.0</v>
      </c>
      <c r="F78" s="20">
        <v>1.0</v>
      </c>
      <c r="G78" s="20">
        <v>1.0</v>
      </c>
      <c r="H78" s="20">
        <v>1.0</v>
      </c>
      <c r="I78" s="20">
        <v>1.0</v>
      </c>
      <c r="J78" s="20">
        <v>1.0</v>
      </c>
      <c r="K78" s="20">
        <v>0.0</v>
      </c>
      <c r="L78" s="20">
        <v>1.0</v>
      </c>
      <c r="M78" s="20">
        <v>1.0</v>
      </c>
      <c r="N78" s="20">
        <v>1.0</v>
      </c>
      <c r="O78" s="20">
        <v>1.0</v>
      </c>
      <c r="P78" s="20">
        <v>1.0</v>
      </c>
      <c r="Q78" s="20">
        <v>1.0</v>
      </c>
      <c r="R78" s="20">
        <v>1.0</v>
      </c>
      <c r="S78" s="20">
        <v>1.0</v>
      </c>
      <c r="T78" s="20">
        <v>1.0</v>
      </c>
      <c r="U78" s="20">
        <v>1.0</v>
      </c>
      <c r="V78" s="20">
        <v>1.0</v>
      </c>
      <c r="W78" s="16"/>
      <c r="X78" s="16"/>
      <c r="Y78" s="18"/>
      <c r="Z78" s="18"/>
      <c r="AA78" s="18"/>
      <c r="AC78" s="27"/>
      <c r="AD78" s="27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3"/>
      <c r="AZ78" s="3"/>
      <c r="BC78" s="20"/>
      <c r="BD78" s="20"/>
    </row>
    <row r="79" ht="15.75" customHeight="1">
      <c r="B79" s="25" t="s">
        <v>38</v>
      </c>
      <c r="C79" s="20">
        <v>0.0</v>
      </c>
      <c r="D79" s="20">
        <v>1.0</v>
      </c>
      <c r="E79" s="20">
        <v>1.0</v>
      </c>
      <c r="F79" s="20">
        <v>1.0</v>
      </c>
      <c r="G79" s="20">
        <v>1.0</v>
      </c>
      <c r="H79" s="20">
        <v>1.0</v>
      </c>
      <c r="I79" s="20">
        <v>1.0</v>
      </c>
      <c r="J79" s="20">
        <v>1.0</v>
      </c>
      <c r="K79" s="20">
        <v>0.0</v>
      </c>
      <c r="L79" s="20">
        <v>1.0</v>
      </c>
      <c r="M79" s="20">
        <v>1.0</v>
      </c>
      <c r="N79" s="20">
        <v>1.0</v>
      </c>
      <c r="O79" s="20">
        <v>1.0</v>
      </c>
      <c r="P79" s="20">
        <v>1.0</v>
      </c>
      <c r="Q79" s="20">
        <v>1.0</v>
      </c>
      <c r="R79" s="20">
        <v>1.0</v>
      </c>
      <c r="S79" s="20">
        <v>1.0</v>
      </c>
      <c r="T79" s="20">
        <v>0.0</v>
      </c>
      <c r="U79" s="20">
        <v>1.0</v>
      </c>
      <c r="V79" s="20">
        <v>1.0</v>
      </c>
      <c r="W79" s="16"/>
      <c r="X79" s="16"/>
      <c r="Y79" s="18"/>
      <c r="Z79" s="18"/>
      <c r="AA79" s="18"/>
      <c r="AC79" s="27"/>
      <c r="AD79" s="27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3"/>
      <c r="AZ79" s="3"/>
      <c r="BC79" s="20"/>
      <c r="BD79" s="20"/>
    </row>
    <row r="80" ht="15.75" customHeight="1">
      <c r="B80" s="25" t="s">
        <v>39</v>
      </c>
      <c r="C80" s="20">
        <v>0.0</v>
      </c>
      <c r="D80" s="20">
        <v>100.0</v>
      </c>
      <c r="E80" s="20">
        <v>100.0</v>
      </c>
      <c r="F80" s="20">
        <v>100.0</v>
      </c>
      <c r="G80" s="20">
        <v>100.0</v>
      </c>
      <c r="H80" s="20">
        <v>100.0</v>
      </c>
      <c r="I80" s="20">
        <v>100.0</v>
      </c>
      <c r="J80" s="20">
        <v>100.0</v>
      </c>
      <c r="K80" s="20">
        <v>40.0</v>
      </c>
      <c r="L80" s="20">
        <v>100.0</v>
      </c>
      <c r="M80" s="20">
        <v>100.0</v>
      </c>
      <c r="N80" s="20">
        <v>100.0</v>
      </c>
      <c r="O80" s="20">
        <v>100.0</v>
      </c>
      <c r="P80" s="20">
        <v>100.0</v>
      </c>
      <c r="Q80" s="20">
        <v>100.0</v>
      </c>
      <c r="R80" s="20">
        <v>100.0</v>
      </c>
      <c r="S80" s="20">
        <v>100.0</v>
      </c>
      <c r="T80" s="20">
        <v>80.0</v>
      </c>
      <c r="U80" s="20">
        <v>100.0</v>
      </c>
      <c r="V80" s="20">
        <v>100.0</v>
      </c>
      <c r="W80" s="16">
        <f>AVERAGE(C80:V80)</f>
        <v>91</v>
      </c>
      <c r="X80" s="16">
        <f>STDEV(C80:V80)</f>
        <v>25.52604449</v>
      </c>
      <c r="Y80" s="17">
        <f>(17/20) * 100</f>
        <v>85</v>
      </c>
      <c r="Z80" s="17"/>
      <c r="AA80" s="18"/>
      <c r="AC80" s="27"/>
      <c r="AD80" s="21">
        <f>2/20 * 100</f>
        <v>10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0" t="str">
        <f>AVERAGE(AE80:AX80)</f>
        <v>#DIV/0!</v>
      </c>
      <c r="AZ80" s="20" t="str">
        <f>STDEV(AE80:AX80)</f>
        <v>#DIV/0!</v>
      </c>
      <c r="BA80" s="17">
        <f>(17/20) * 100</f>
        <v>85</v>
      </c>
      <c r="BC80" s="20"/>
      <c r="BD80" s="20"/>
    </row>
    <row r="81" ht="15.75" customHeight="1">
      <c r="A81" s="25" t="s">
        <v>40</v>
      </c>
      <c r="B81" s="25" t="s">
        <v>34</v>
      </c>
      <c r="C81" s="20">
        <v>0.0</v>
      </c>
      <c r="D81" s="20">
        <v>0.0</v>
      </c>
      <c r="E81" s="20">
        <v>100.0</v>
      </c>
      <c r="F81" s="24"/>
      <c r="G81" s="24"/>
      <c r="H81" s="23"/>
      <c r="I81" s="24"/>
      <c r="J81" s="24"/>
      <c r="K81" s="24"/>
      <c r="L81" s="22">
        <v>100.0</v>
      </c>
      <c r="M81" s="24"/>
      <c r="N81" s="24"/>
      <c r="O81" s="24"/>
      <c r="P81" s="22">
        <v>100.0</v>
      </c>
      <c r="Q81" s="20">
        <v>100.0</v>
      </c>
      <c r="R81" s="20">
        <v>100.0</v>
      </c>
      <c r="S81" s="24"/>
      <c r="T81" s="24"/>
      <c r="U81" s="24"/>
      <c r="V81" s="24"/>
      <c r="W81" s="16"/>
      <c r="X81" s="16"/>
      <c r="Y81" s="17"/>
      <c r="Z81" s="17"/>
      <c r="AA81" s="18"/>
      <c r="AC81" s="27"/>
      <c r="AD81" s="27"/>
      <c r="AE81" s="22"/>
      <c r="AF81" s="22"/>
      <c r="AG81" s="22"/>
      <c r="AH81" s="2"/>
      <c r="AI81" s="2"/>
      <c r="AJ81" s="2"/>
      <c r="AK81" s="2"/>
      <c r="AL81" s="2"/>
      <c r="AM81" s="2"/>
      <c r="AN81" s="22"/>
      <c r="AO81" s="2"/>
      <c r="AP81" s="2"/>
      <c r="AQ81" s="2"/>
      <c r="AR81" s="22"/>
      <c r="AS81" s="22"/>
      <c r="AT81" s="22"/>
      <c r="AU81" s="2"/>
      <c r="AV81" s="2"/>
      <c r="AW81" s="2"/>
      <c r="AX81" s="2"/>
      <c r="AY81" s="3"/>
      <c r="AZ81" s="3"/>
      <c r="BA81" s="32" t="s">
        <v>57</v>
      </c>
      <c r="BC81" s="24"/>
      <c r="BD81" s="24"/>
    </row>
    <row r="82" ht="15.75" customHeight="1">
      <c r="B82" s="25" t="s">
        <v>35</v>
      </c>
      <c r="C82" s="20">
        <v>0.0</v>
      </c>
      <c r="D82" s="20">
        <v>0.0</v>
      </c>
      <c r="E82" s="20">
        <v>100.0</v>
      </c>
      <c r="F82" s="24"/>
      <c r="G82" s="24"/>
      <c r="H82" s="23"/>
      <c r="I82" s="24"/>
      <c r="J82" s="24"/>
      <c r="K82" s="24"/>
      <c r="L82" s="22">
        <v>100.0</v>
      </c>
      <c r="M82" s="24"/>
      <c r="N82" s="24"/>
      <c r="O82" s="24"/>
      <c r="P82" s="22">
        <v>100.0</v>
      </c>
      <c r="Q82" s="20">
        <v>100.0</v>
      </c>
      <c r="R82" s="20">
        <v>100.0</v>
      </c>
      <c r="S82" s="24"/>
      <c r="T82" s="24"/>
      <c r="U82" s="24"/>
      <c r="V82" s="24"/>
      <c r="W82" s="16"/>
      <c r="X82" s="16"/>
      <c r="Y82" s="17"/>
      <c r="Z82" s="17"/>
      <c r="AA82" s="18"/>
      <c r="AC82" s="27"/>
      <c r="AD82" s="27"/>
      <c r="AE82" s="22"/>
      <c r="AF82" s="22"/>
      <c r="AG82" s="22"/>
      <c r="AH82" s="2"/>
      <c r="AI82" s="2"/>
      <c r="AJ82" s="2"/>
      <c r="AK82" s="2"/>
      <c r="AL82" s="2"/>
      <c r="AM82" s="2"/>
      <c r="AN82" s="22"/>
      <c r="AO82" s="2"/>
      <c r="AP82" s="2"/>
      <c r="AQ82" s="2"/>
      <c r="AR82" s="22"/>
      <c r="AS82" s="22"/>
      <c r="AT82" s="22"/>
      <c r="AU82" s="2"/>
      <c r="AV82" s="2"/>
      <c r="AW82" s="2"/>
      <c r="AX82" s="2"/>
      <c r="AY82" s="3"/>
      <c r="AZ82" s="3"/>
      <c r="BA82" s="32"/>
      <c r="BB82" s="32"/>
      <c r="BC82" s="24"/>
      <c r="BD82" s="24"/>
    </row>
    <row r="83" ht="15.75" customHeight="1">
      <c r="B83" s="25" t="s">
        <v>36</v>
      </c>
      <c r="C83" s="20">
        <v>0.0</v>
      </c>
      <c r="D83" s="20">
        <v>0.0</v>
      </c>
      <c r="E83" s="20">
        <v>100.0</v>
      </c>
      <c r="F83" s="24"/>
      <c r="G83" s="24"/>
      <c r="H83" s="23"/>
      <c r="I83" s="24"/>
      <c r="J83" s="24"/>
      <c r="K83" s="24"/>
      <c r="L83" s="22">
        <v>100.0</v>
      </c>
      <c r="M83" s="24"/>
      <c r="N83" s="24"/>
      <c r="O83" s="24"/>
      <c r="P83" s="22">
        <v>100.0</v>
      </c>
      <c r="Q83" s="20">
        <v>100.0</v>
      </c>
      <c r="R83" s="20">
        <v>100.0</v>
      </c>
      <c r="S83" s="24"/>
      <c r="T83" s="24"/>
      <c r="U83" s="24"/>
      <c r="V83" s="24"/>
      <c r="W83" s="16"/>
      <c r="X83" s="16"/>
      <c r="Y83" s="18"/>
      <c r="Z83" s="18"/>
      <c r="AA83" s="18"/>
      <c r="AC83" s="27"/>
      <c r="AD83" s="27"/>
      <c r="AE83" s="22"/>
      <c r="AF83" s="22"/>
      <c r="AG83" s="22"/>
      <c r="AH83" s="2"/>
      <c r="AI83" s="2"/>
      <c r="AJ83" s="2"/>
      <c r="AK83" s="2"/>
      <c r="AL83" s="2"/>
      <c r="AM83" s="2"/>
      <c r="AN83" s="22"/>
      <c r="AO83" s="2"/>
      <c r="AP83" s="2"/>
      <c r="AQ83" s="2"/>
      <c r="AR83" s="22"/>
      <c r="AS83" s="22"/>
      <c r="AT83" s="22"/>
      <c r="AU83" s="2"/>
      <c r="AV83" s="2"/>
      <c r="AW83" s="2"/>
      <c r="AX83" s="2"/>
      <c r="AY83" s="3"/>
      <c r="AZ83" s="3"/>
      <c r="BC83" s="24"/>
      <c r="BD83" s="24"/>
    </row>
    <row r="84" ht="15.75" customHeight="1">
      <c r="B84" s="25" t="s">
        <v>37</v>
      </c>
      <c r="C84" s="20">
        <v>0.0</v>
      </c>
      <c r="D84" s="20">
        <v>0.0</v>
      </c>
      <c r="E84" s="20">
        <v>100.0</v>
      </c>
      <c r="F84" s="24"/>
      <c r="G84" s="24"/>
      <c r="H84" s="23"/>
      <c r="I84" s="24"/>
      <c r="J84" s="24"/>
      <c r="K84" s="24"/>
      <c r="L84" s="22">
        <v>100.0</v>
      </c>
      <c r="M84" s="24"/>
      <c r="N84" s="24"/>
      <c r="O84" s="24"/>
      <c r="P84" s="22">
        <v>100.0</v>
      </c>
      <c r="Q84" s="20">
        <v>100.0</v>
      </c>
      <c r="R84" s="20">
        <v>100.0</v>
      </c>
      <c r="S84" s="24"/>
      <c r="T84" s="24"/>
      <c r="U84" s="24"/>
      <c r="V84" s="24"/>
      <c r="W84" s="16"/>
      <c r="X84" s="16"/>
      <c r="Y84" s="18"/>
      <c r="Z84" s="18"/>
      <c r="AA84" s="18"/>
      <c r="AC84" s="27"/>
      <c r="AD84" s="27"/>
      <c r="AE84" s="22"/>
      <c r="AF84" s="22"/>
      <c r="AG84" s="22"/>
      <c r="AH84" s="2"/>
      <c r="AI84" s="2"/>
      <c r="AJ84" s="2"/>
      <c r="AK84" s="2"/>
      <c r="AL84" s="2"/>
      <c r="AM84" s="2"/>
      <c r="AN84" s="22"/>
      <c r="AO84" s="2"/>
      <c r="AP84" s="2"/>
      <c r="AQ84" s="2"/>
      <c r="AR84" s="22"/>
      <c r="AS84" s="22"/>
      <c r="AT84" s="22"/>
      <c r="AU84" s="2"/>
      <c r="AV84" s="2"/>
      <c r="AW84" s="2"/>
      <c r="AX84" s="2"/>
      <c r="AY84" s="3"/>
      <c r="AZ84" s="3"/>
      <c r="BC84" s="24"/>
      <c r="BD84" s="24"/>
    </row>
    <row r="85" ht="15.75" customHeight="1">
      <c r="B85" s="25" t="s">
        <v>38</v>
      </c>
      <c r="C85" s="20">
        <v>0.0</v>
      </c>
      <c r="D85" s="20">
        <v>0.0</v>
      </c>
      <c r="E85" s="20">
        <v>100.0</v>
      </c>
      <c r="F85" s="24"/>
      <c r="G85" s="24"/>
      <c r="H85" s="23"/>
      <c r="I85" s="24"/>
      <c r="J85" s="24"/>
      <c r="K85" s="24"/>
      <c r="L85" s="22">
        <v>100.0</v>
      </c>
      <c r="M85" s="24"/>
      <c r="N85" s="24"/>
      <c r="O85" s="24"/>
      <c r="P85" s="22">
        <v>0.0</v>
      </c>
      <c r="Q85" s="20">
        <v>100.0</v>
      </c>
      <c r="R85" s="20">
        <v>100.0</v>
      </c>
      <c r="S85" s="24"/>
      <c r="T85" s="24"/>
      <c r="U85" s="24"/>
      <c r="V85" s="24"/>
      <c r="W85" s="16"/>
      <c r="X85" s="16"/>
      <c r="Y85" s="18"/>
      <c r="Z85" s="18"/>
      <c r="AA85" s="18"/>
      <c r="AC85" s="27"/>
      <c r="AD85" s="27"/>
      <c r="AE85" s="22"/>
      <c r="AF85" s="22"/>
      <c r="AG85" s="22"/>
      <c r="AH85" s="2"/>
      <c r="AI85" s="2"/>
      <c r="AJ85" s="2"/>
      <c r="AK85" s="2"/>
      <c r="AL85" s="2"/>
      <c r="AM85" s="2"/>
      <c r="AN85" s="22"/>
      <c r="AO85" s="2"/>
      <c r="AP85" s="2"/>
      <c r="AQ85" s="2"/>
      <c r="AR85" s="22"/>
      <c r="AS85" s="22"/>
      <c r="AT85" s="22"/>
      <c r="AU85" s="2"/>
      <c r="AV85" s="2"/>
      <c r="AW85" s="2"/>
      <c r="AX85" s="2"/>
      <c r="AY85" s="3"/>
      <c r="AZ85" s="3"/>
      <c r="BC85" s="24"/>
      <c r="BD85" s="24"/>
    </row>
    <row r="86" ht="15.75" customHeight="1">
      <c r="B86" s="25" t="s">
        <v>42</v>
      </c>
      <c r="C86" s="20">
        <f t="shared" ref="C86:E86" si="38">AVERAGE(C81:C85)</f>
        <v>0</v>
      </c>
      <c r="D86" s="20">
        <f t="shared" si="38"/>
        <v>0</v>
      </c>
      <c r="E86" s="20">
        <f t="shared" si="38"/>
        <v>100</v>
      </c>
      <c r="F86" s="24" t="s">
        <v>44</v>
      </c>
      <c r="G86" s="24" t="s">
        <v>44</v>
      </c>
      <c r="H86" s="34" t="s">
        <v>43</v>
      </c>
      <c r="I86" s="24" t="s">
        <v>44</v>
      </c>
      <c r="J86" s="24" t="s">
        <v>44</v>
      </c>
      <c r="K86" s="24" t="s">
        <v>44</v>
      </c>
      <c r="L86" s="22">
        <f>AVERAGE(L81:L85)</f>
        <v>100</v>
      </c>
      <c r="M86" s="24" t="s">
        <v>44</v>
      </c>
      <c r="N86" s="24" t="s">
        <v>44</v>
      </c>
      <c r="O86" s="24" t="s">
        <v>44</v>
      </c>
      <c r="P86" s="22">
        <f t="shared" ref="P86:R86" si="39">AVERAGE(P81:P85)</f>
        <v>80</v>
      </c>
      <c r="Q86" s="20">
        <f t="shared" si="39"/>
        <v>100</v>
      </c>
      <c r="R86" s="20">
        <f t="shared" si="39"/>
        <v>100</v>
      </c>
      <c r="S86" s="24" t="s">
        <v>44</v>
      </c>
      <c r="T86" s="24" t="s">
        <v>44</v>
      </c>
      <c r="U86" s="24" t="s">
        <v>44</v>
      </c>
      <c r="V86" s="24" t="s">
        <v>44</v>
      </c>
      <c r="W86" s="16">
        <f>AVERAGE(C86:E86,L86,P86:R86)</f>
        <v>68.57142857</v>
      </c>
      <c r="X86" s="16">
        <f>STDEV(C86:E86,L86,P86:R86)</f>
        <v>47.40906082</v>
      </c>
      <c r="Y86" s="17"/>
      <c r="Z86" s="17">
        <f>(4/7) * 100</f>
        <v>57.14285714</v>
      </c>
      <c r="AA86" s="18"/>
      <c r="AC86" s="27">
        <f>(4/7) * 100</f>
        <v>57.14285714</v>
      </c>
      <c r="AD86" s="27"/>
      <c r="AE86" s="22"/>
      <c r="AF86" s="22"/>
      <c r="AG86" s="28">
        <f>1/7*100</f>
        <v>14.28571429</v>
      </c>
      <c r="AJ86" s="5"/>
      <c r="AK86" s="2"/>
      <c r="AL86" s="2"/>
      <c r="AM86" s="2"/>
      <c r="AN86" s="22"/>
      <c r="AO86" s="2"/>
      <c r="AP86" s="2"/>
      <c r="AQ86" s="2"/>
      <c r="AR86" s="22"/>
      <c r="AS86" s="22"/>
      <c r="AT86" s="22"/>
      <c r="AU86" s="2"/>
      <c r="AV86" s="2"/>
      <c r="AW86" s="2"/>
      <c r="AX86" s="2"/>
      <c r="AY86" s="20">
        <f>AVERAGE(AE86:AG86,AN86,AR86:AT86)</f>
        <v>14.28571429</v>
      </c>
      <c r="AZ86" s="20" t="str">
        <f>STDEV(AE86:AG86,AN86,AR86:AT86)</f>
        <v>#DIV/0!</v>
      </c>
      <c r="BA86" s="17">
        <f>(4/7) * 100</f>
        <v>57.14285714</v>
      </c>
      <c r="BC86" s="24"/>
      <c r="BD86" s="24"/>
    </row>
    <row r="87" ht="15.75" customHeight="1">
      <c r="W87" s="18"/>
      <c r="X87" s="18"/>
      <c r="Y87" s="17"/>
      <c r="Z87" s="17"/>
      <c r="AA87" s="18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BA87" s="17" t="s">
        <v>58</v>
      </c>
    </row>
    <row r="88" ht="15.75" customHeight="1">
      <c r="A88" s="31" t="s">
        <v>46</v>
      </c>
      <c r="B88" s="19" t="s">
        <v>34</v>
      </c>
      <c r="C88" s="20">
        <f t="shared" ref="C88:V88" si="40">(C99/C105)*100</f>
        <v>2.104214655</v>
      </c>
      <c r="D88" s="20">
        <f t="shared" si="40"/>
        <v>1.472007722</v>
      </c>
      <c r="E88" s="20">
        <f t="shared" si="40"/>
        <v>3.962398858</v>
      </c>
      <c r="F88" s="20">
        <f t="shared" si="40"/>
        <v>0.2346041056</v>
      </c>
      <c r="G88" s="20">
        <f t="shared" si="40"/>
        <v>0.4075164139</v>
      </c>
      <c r="H88" s="20">
        <f t="shared" si="40"/>
        <v>5.380434783</v>
      </c>
      <c r="I88" s="20">
        <f t="shared" si="40"/>
        <v>1.726121979</v>
      </c>
      <c r="J88" s="20">
        <f t="shared" si="40"/>
        <v>0.3863987635</v>
      </c>
      <c r="K88" s="20">
        <f t="shared" si="40"/>
        <v>3.677813965</v>
      </c>
      <c r="L88" s="20">
        <f t="shared" si="40"/>
        <v>0</v>
      </c>
      <c r="M88" s="20">
        <f t="shared" si="40"/>
        <v>6.184779842</v>
      </c>
      <c r="N88" s="20">
        <f t="shared" si="40"/>
        <v>2.297439495</v>
      </c>
      <c r="O88" s="20">
        <f t="shared" si="40"/>
        <v>0.5917159763</v>
      </c>
      <c r="P88" s="20">
        <f t="shared" si="40"/>
        <v>3.639212955</v>
      </c>
      <c r="Q88" s="20">
        <f t="shared" si="40"/>
        <v>7.504145937</v>
      </c>
      <c r="R88" s="20">
        <f t="shared" si="40"/>
        <v>5.535714286</v>
      </c>
      <c r="S88" s="20">
        <f t="shared" si="40"/>
        <v>4.015887026</v>
      </c>
      <c r="T88" s="20">
        <f t="shared" si="40"/>
        <v>2.028768604</v>
      </c>
      <c r="U88" s="20">
        <f t="shared" si="40"/>
        <v>0.1168224299</v>
      </c>
      <c r="V88" s="20">
        <f t="shared" si="40"/>
        <v>1.224324598</v>
      </c>
      <c r="W88" s="18"/>
      <c r="X88" s="18"/>
      <c r="Y88" s="18"/>
      <c r="Z88" s="18"/>
      <c r="AA88" s="18"/>
      <c r="AC88" s="29"/>
      <c r="AD88" s="21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BC88" s="20"/>
      <c r="BD88" s="20"/>
    </row>
    <row r="89" ht="15.75" customHeight="1">
      <c r="B89" s="19" t="s">
        <v>35</v>
      </c>
      <c r="C89" s="20">
        <f t="shared" ref="C89:V89" si="41">(C100/C105)*100</f>
        <v>3.006910291</v>
      </c>
      <c r="D89" s="20">
        <f t="shared" si="41"/>
        <v>3.209459459</v>
      </c>
      <c r="E89" s="20">
        <f t="shared" si="41"/>
        <v>8.781532604</v>
      </c>
      <c r="F89" s="20">
        <f t="shared" si="41"/>
        <v>1.432760788</v>
      </c>
      <c r="G89" s="20">
        <f t="shared" si="41"/>
        <v>0.9659648328</v>
      </c>
      <c r="H89" s="20">
        <f t="shared" si="41"/>
        <v>6.130434783</v>
      </c>
      <c r="I89" s="20">
        <f t="shared" si="41"/>
        <v>1.726121979</v>
      </c>
      <c r="J89" s="20">
        <f t="shared" si="41"/>
        <v>0.3863987635</v>
      </c>
      <c r="K89" s="20">
        <f t="shared" si="41"/>
        <v>0.8340614822</v>
      </c>
      <c r="L89" s="20">
        <f t="shared" si="41"/>
        <v>0</v>
      </c>
      <c r="M89" s="20">
        <f t="shared" si="41"/>
        <v>6.668363451</v>
      </c>
      <c r="N89" s="20">
        <f t="shared" si="41"/>
        <v>4.647492108</v>
      </c>
      <c r="O89" s="20">
        <f t="shared" si="41"/>
        <v>0.6982248521</v>
      </c>
      <c r="P89" s="20">
        <f t="shared" si="41"/>
        <v>5.467525683</v>
      </c>
      <c r="Q89" s="20">
        <f t="shared" si="41"/>
        <v>8.913764511</v>
      </c>
      <c r="R89" s="20">
        <f t="shared" si="41"/>
        <v>0.5</v>
      </c>
      <c r="S89" s="20">
        <f t="shared" si="41"/>
        <v>2.647837599</v>
      </c>
      <c r="T89" s="20">
        <f t="shared" si="41"/>
        <v>4.036750644</v>
      </c>
      <c r="U89" s="20">
        <f t="shared" si="41"/>
        <v>0</v>
      </c>
      <c r="V89" s="20">
        <f t="shared" si="41"/>
        <v>0.6172214914</v>
      </c>
      <c r="W89" s="18"/>
      <c r="X89" s="18"/>
      <c r="Y89" s="17"/>
      <c r="Z89" s="17"/>
      <c r="AA89" s="18"/>
      <c r="AC89" s="29"/>
      <c r="AD89" s="21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BA89" s="32"/>
      <c r="BC89" s="20"/>
      <c r="BD89" s="20"/>
    </row>
    <row r="90" ht="15.75" customHeight="1">
      <c r="B90" s="19" t="s">
        <v>36</v>
      </c>
      <c r="C90" s="20">
        <f t="shared" ref="C90:V90" si="42">(C101/C105)*100</f>
        <v>2.552449729</v>
      </c>
      <c r="D90" s="20">
        <f t="shared" si="42"/>
        <v>0.6032818533</v>
      </c>
      <c r="E90" s="20">
        <f t="shared" si="42"/>
        <v>3.962398858</v>
      </c>
      <c r="F90" s="20">
        <f t="shared" si="42"/>
        <v>1.332216171</v>
      </c>
      <c r="G90" s="20">
        <f t="shared" si="42"/>
        <v>0.8074862275</v>
      </c>
      <c r="H90" s="20">
        <f t="shared" si="42"/>
        <v>9.619565217</v>
      </c>
      <c r="I90" s="20">
        <f t="shared" si="42"/>
        <v>2.876869965</v>
      </c>
      <c r="J90" s="20">
        <f t="shared" si="42"/>
        <v>0</v>
      </c>
      <c r="K90" s="20">
        <f t="shared" si="42"/>
        <v>4.337119708</v>
      </c>
      <c r="L90" s="20">
        <f t="shared" si="42"/>
        <v>1.0107597</v>
      </c>
      <c r="M90" s="20">
        <f t="shared" si="42"/>
        <v>6.184779842</v>
      </c>
      <c r="N90" s="20">
        <f t="shared" si="42"/>
        <v>5.313924939</v>
      </c>
      <c r="O90" s="20">
        <f t="shared" si="42"/>
        <v>0.201183432</v>
      </c>
      <c r="P90" s="20">
        <f t="shared" si="42"/>
        <v>7.243600905</v>
      </c>
      <c r="Q90" s="20">
        <f t="shared" si="42"/>
        <v>8.374792703</v>
      </c>
      <c r="R90" s="20">
        <f t="shared" si="42"/>
        <v>0.5</v>
      </c>
      <c r="S90" s="20">
        <f t="shared" si="42"/>
        <v>4.677846425</v>
      </c>
      <c r="T90" s="20">
        <f t="shared" si="42"/>
        <v>2.494387628</v>
      </c>
      <c r="U90" s="20">
        <f t="shared" si="42"/>
        <v>3.504672897</v>
      </c>
      <c r="V90" s="20">
        <f t="shared" si="42"/>
        <v>0.01011838511</v>
      </c>
      <c r="W90" s="18"/>
      <c r="X90" s="18"/>
      <c r="Y90" s="18"/>
      <c r="Z90" s="18"/>
      <c r="AA90" s="18"/>
      <c r="AC90" s="29"/>
      <c r="AD90" s="21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BC90" s="20"/>
      <c r="BD90" s="20"/>
    </row>
    <row r="91" ht="15.75" customHeight="1">
      <c r="B91" s="19" t="s">
        <v>37</v>
      </c>
      <c r="C91" s="20">
        <f t="shared" ref="C91:V91" si="43">(C102/C105)*100</f>
        <v>2.483969371</v>
      </c>
      <c r="D91" s="20">
        <f t="shared" si="43"/>
        <v>3.209459459</v>
      </c>
      <c r="E91" s="20">
        <f t="shared" si="43"/>
        <v>3.581627796</v>
      </c>
      <c r="F91" s="20">
        <f t="shared" si="43"/>
        <v>0.3351487222</v>
      </c>
      <c r="G91" s="20">
        <f t="shared" si="43"/>
        <v>0.2490378085</v>
      </c>
      <c r="H91" s="20">
        <f t="shared" si="43"/>
        <v>0.5760869565</v>
      </c>
      <c r="I91" s="20">
        <f t="shared" si="43"/>
        <v>4.14269275</v>
      </c>
      <c r="J91" s="20">
        <f t="shared" si="43"/>
        <v>0.3863987635</v>
      </c>
      <c r="K91" s="20">
        <f t="shared" si="43"/>
        <v>2.053379935</v>
      </c>
      <c r="L91" s="20">
        <f t="shared" si="43"/>
        <v>0.09781545484</v>
      </c>
      <c r="M91" s="20">
        <f t="shared" si="43"/>
        <v>6.210231611</v>
      </c>
      <c r="N91" s="20">
        <f t="shared" si="43"/>
        <v>2.279901789</v>
      </c>
      <c r="O91" s="20">
        <f t="shared" si="43"/>
        <v>0.6982248521</v>
      </c>
      <c r="P91" s="20">
        <f t="shared" si="43"/>
        <v>6.372975797</v>
      </c>
      <c r="Q91" s="20">
        <f t="shared" si="43"/>
        <v>9.701492537</v>
      </c>
      <c r="R91" s="20">
        <f t="shared" si="43"/>
        <v>0.7857142857</v>
      </c>
      <c r="S91" s="20">
        <f t="shared" si="43"/>
        <v>2.647837599</v>
      </c>
      <c r="T91" s="20">
        <f t="shared" si="43"/>
        <v>2.664837449</v>
      </c>
      <c r="U91" s="20">
        <f t="shared" si="43"/>
        <v>0</v>
      </c>
      <c r="V91" s="20">
        <f t="shared" si="43"/>
        <v>3.116462613</v>
      </c>
      <c r="W91" s="18"/>
      <c r="X91" s="18"/>
      <c r="Y91" s="18"/>
      <c r="Z91" s="18"/>
      <c r="AA91" s="18"/>
      <c r="AC91" s="29"/>
      <c r="AD91" s="21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BC91" s="20"/>
      <c r="BD91" s="20"/>
    </row>
    <row r="92" ht="15.75" customHeight="1">
      <c r="B92" s="19" t="s">
        <v>38</v>
      </c>
      <c r="C92" s="20">
        <f t="shared" ref="C92:V92" si="44">(C103/C105)*100</f>
        <v>3.143871008</v>
      </c>
      <c r="D92" s="20">
        <f t="shared" si="44"/>
        <v>3.209459459</v>
      </c>
      <c r="E92" s="20">
        <f t="shared" si="44"/>
        <v>7.698714898</v>
      </c>
      <c r="F92" s="20">
        <f t="shared" si="44"/>
        <v>0.3770423125</v>
      </c>
      <c r="G92" s="20">
        <f t="shared" si="44"/>
        <v>0.1811184062</v>
      </c>
      <c r="H92" s="20">
        <f t="shared" si="44"/>
        <v>4.336956522</v>
      </c>
      <c r="I92" s="20">
        <f t="shared" si="44"/>
        <v>1.726121979</v>
      </c>
      <c r="J92" s="20">
        <f t="shared" si="44"/>
        <v>0.3863987635</v>
      </c>
      <c r="K92" s="20">
        <f t="shared" si="44"/>
        <v>0.4448327905</v>
      </c>
      <c r="L92" s="20">
        <f t="shared" si="44"/>
        <v>3.945223345</v>
      </c>
      <c r="M92" s="20">
        <f t="shared" si="44"/>
        <v>6.184779842</v>
      </c>
      <c r="N92" s="20">
        <f t="shared" si="44"/>
        <v>2.279901789</v>
      </c>
      <c r="O92" s="20">
        <f t="shared" si="44"/>
        <v>0.6035502959</v>
      </c>
      <c r="P92" s="20">
        <f t="shared" si="44"/>
        <v>10.72610134</v>
      </c>
      <c r="Q92" s="20">
        <f t="shared" si="44"/>
        <v>7.669983416</v>
      </c>
      <c r="R92" s="20">
        <f t="shared" si="44"/>
        <v>0.9285714286</v>
      </c>
      <c r="S92" s="20">
        <f t="shared" si="44"/>
        <v>3.089143866</v>
      </c>
      <c r="T92" s="20">
        <f t="shared" si="44"/>
        <v>3.741581442</v>
      </c>
      <c r="U92" s="20">
        <f t="shared" si="44"/>
        <v>0</v>
      </c>
      <c r="V92" s="20">
        <f t="shared" si="44"/>
        <v>8.216128706</v>
      </c>
      <c r="W92" s="18"/>
      <c r="X92" s="18"/>
      <c r="Y92" s="18"/>
      <c r="Z92" s="18"/>
      <c r="AA92" s="18"/>
      <c r="AC92" s="29"/>
      <c r="AD92" s="21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BC92" s="20"/>
      <c r="BD92" s="20"/>
    </row>
    <row r="93" ht="15.75" customHeight="1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18"/>
      <c r="X93" s="18"/>
      <c r="Y93" s="18"/>
      <c r="Z93" s="18"/>
      <c r="AA93" s="18"/>
      <c r="AC93" s="29"/>
      <c r="AD93" s="30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BC93" s="3"/>
      <c r="BD93" s="3"/>
    </row>
    <row r="94" ht="15.75" customHeight="1">
      <c r="B94" s="32" t="s">
        <v>47</v>
      </c>
      <c r="C94" s="3">
        <f t="shared" ref="C94:V94" si="45">MAX(C88:C92)</f>
        <v>3.143871008</v>
      </c>
      <c r="D94" s="3">
        <f t="shared" si="45"/>
        <v>3.209459459</v>
      </c>
      <c r="E94" s="3">
        <f t="shared" si="45"/>
        <v>8.781532604</v>
      </c>
      <c r="F94" s="3">
        <f t="shared" si="45"/>
        <v>1.432760788</v>
      </c>
      <c r="G94" s="3">
        <f t="shared" si="45"/>
        <v>0.9659648328</v>
      </c>
      <c r="H94" s="3">
        <f t="shared" si="45"/>
        <v>9.619565217</v>
      </c>
      <c r="I94" s="3">
        <f t="shared" si="45"/>
        <v>4.14269275</v>
      </c>
      <c r="J94" s="3">
        <f t="shared" si="45"/>
        <v>0.3863987635</v>
      </c>
      <c r="K94" s="3">
        <f t="shared" si="45"/>
        <v>4.337119708</v>
      </c>
      <c r="L94" s="3">
        <f t="shared" si="45"/>
        <v>3.945223345</v>
      </c>
      <c r="M94" s="3">
        <f t="shared" si="45"/>
        <v>6.668363451</v>
      </c>
      <c r="N94" s="3">
        <f t="shared" si="45"/>
        <v>5.313924939</v>
      </c>
      <c r="O94" s="3">
        <f t="shared" si="45"/>
        <v>0.6982248521</v>
      </c>
      <c r="P94" s="3">
        <f t="shared" si="45"/>
        <v>10.72610134</v>
      </c>
      <c r="Q94" s="3">
        <f t="shared" si="45"/>
        <v>9.701492537</v>
      </c>
      <c r="R94" s="3">
        <f t="shared" si="45"/>
        <v>5.535714286</v>
      </c>
      <c r="S94" s="3">
        <f t="shared" si="45"/>
        <v>4.677846425</v>
      </c>
      <c r="T94" s="3">
        <f t="shared" si="45"/>
        <v>4.036750644</v>
      </c>
      <c r="U94" s="3">
        <f t="shared" si="45"/>
        <v>3.504672897</v>
      </c>
      <c r="V94" s="3">
        <f t="shared" si="45"/>
        <v>8.216128706</v>
      </c>
      <c r="W94" s="18"/>
      <c r="X94" s="18"/>
      <c r="Y94" s="18"/>
      <c r="Z94" s="18"/>
      <c r="AA94" s="18"/>
      <c r="AC94" s="29"/>
      <c r="AD94" s="30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BC94" s="3"/>
      <c r="BD94" s="3"/>
    </row>
    <row r="95" ht="15.75" customHeight="1">
      <c r="B95" s="32" t="s">
        <v>48</v>
      </c>
      <c r="C95" s="32">
        <f t="shared" ref="C95:V95" si="46">min(C88:C92)</f>
        <v>2.104214655</v>
      </c>
      <c r="D95" s="32">
        <f t="shared" si="46"/>
        <v>0.6032818533</v>
      </c>
      <c r="E95" s="32">
        <f t="shared" si="46"/>
        <v>3.581627796</v>
      </c>
      <c r="F95" s="32">
        <f t="shared" si="46"/>
        <v>0.2346041056</v>
      </c>
      <c r="G95" s="32">
        <f t="shared" si="46"/>
        <v>0.1811184062</v>
      </c>
      <c r="H95" s="32">
        <f t="shared" si="46"/>
        <v>0.5760869565</v>
      </c>
      <c r="I95" s="32">
        <f t="shared" si="46"/>
        <v>1.726121979</v>
      </c>
      <c r="J95" s="32">
        <f t="shared" si="46"/>
        <v>0</v>
      </c>
      <c r="K95" s="32">
        <f t="shared" si="46"/>
        <v>0.4448327905</v>
      </c>
      <c r="L95" s="32">
        <f t="shared" si="46"/>
        <v>0</v>
      </c>
      <c r="M95" s="32">
        <f t="shared" si="46"/>
        <v>6.184779842</v>
      </c>
      <c r="N95" s="32">
        <f t="shared" si="46"/>
        <v>2.279901789</v>
      </c>
      <c r="O95" s="32">
        <f t="shared" si="46"/>
        <v>0.201183432</v>
      </c>
      <c r="P95" s="32">
        <f t="shared" si="46"/>
        <v>3.639212955</v>
      </c>
      <c r="Q95" s="32">
        <f t="shared" si="46"/>
        <v>7.504145937</v>
      </c>
      <c r="R95" s="32">
        <f t="shared" si="46"/>
        <v>0.5</v>
      </c>
      <c r="S95" s="32">
        <f t="shared" si="46"/>
        <v>2.647837599</v>
      </c>
      <c r="T95" s="32">
        <f t="shared" si="46"/>
        <v>2.028768604</v>
      </c>
      <c r="U95" s="32">
        <f t="shared" si="46"/>
        <v>0</v>
      </c>
      <c r="V95" s="32">
        <f t="shared" si="46"/>
        <v>0.01011838511</v>
      </c>
      <c r="W95" s="18"/>
      <c r="X95" s="18"/>
      <c r="Y95" s="18"/>
      <c r="Z95" s="18"/>
      <c r="AA95" s="18"/>
      <c r="AC95" s="29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</row>
    <row r="96" ht="15.75" customHeight="1">
      <c r="B96" s="32" t="s">
        <v>49</v>
      </c>
      <c r="C96" s="3">
        <f t="shared" ref="C96:V96" si="47">AVERAGE(C88:C92)</f>
        <v>2.658283011</v>
      </c>
      <c r="D96" s="3">
        <f t="shared" si="47"/>
        <v>2.340733591</v>
      </c>
      <c r="E96" s="3">
        <f t="shared" si="47"/>
        <v>5.597334603</v>
      </c>
      <c r="F96" s="3">
        <f t="shared" si="47"/>
        <v>0.7423544198</v>
      </c>
      <c r="G96" s="3">
        <f t="shared" si="47"/>
        <v>0.5222247378</v>
      </c>
      <c r="H96" s="3">
        <f t="shared" si="47"/>
        <v>5.208695652</v>
      </c>
      <c r="I96" s="3">
        <f t="shared" si="47"/>
        <v>2.439585731</v>
      </c>
      <c r="J96" s="3">
        <f t="shared" si="47"/>
        <v>0.3091190108</v>
      </c>
      <c r="K96" s="3">
        <f t="shared" si="47"/>
        <v>2.269441576</v>
      </c>
      <c r="L96" s="3">
        <f t="shared" si="47"/>
        <v>1.0107597</v>
      </c>
      <c r="M96" s="3">
        <f t="shared" si="47"/>
        <v>6.286586918</v>
      </c>
      <c r="N96" s="3">
        <f t="shared" si="47"/>
        <v>3.363732024</v>
      </c>
      <c r="O96" s="3">
        <f t="shared" si="47"/>
        <v>0.5585798817</v>
      </c>
      <c r="P96" s="3">
        <f t="shared" si="47"/>
        <v>6.689883336</v>
      </c>
      <c r="Q96" s="3">
        <f t="shared" si="47"/>
        <v>8.432835821</v>
      </c>
      <c r="R96" s="3">
        <f t="shared" si="47"/>
        <v>1.65</v>
      </c>
      <c r="S96" s="3">
        <f t="shared" si="47"/>
        <v>3.415710503</v>
      </c>
      <c r="T96" s="3">
        <f t="shared" si="47"/>
        <v>2.993265153</v>
      </c>
      <c r="U96" s="3">
        <f t="shared" si="47"/>
        <v>0.7242990654</v>
      </c>
      <c r="V96" s="3">
        <f t="shared" si="47"/>
        <v>2.636851159</v>
      </c>
      <c r="W96" s="17">
        <f t="shared" ref="W96:W97" si="49">AVERAGE(C96:V96)</f>
        <v>2.992513795</v>
      </c>
      <c r="X96" s="17">
        <f t="shared" ref="X96:X97" si="50">STDEV(C96:V96)</f>
        <v>2.325921206</v>
      </c>
      <c r="Y96" s="17"/>
      <c r="Z96" s="17"/>
      <c r="AA96" s="18">
        <f>100-W96</f>
        <v>97.00748621</v>
      </c>
      <c r="AC96" s="29"/>
      <c r="AD96" s="30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32" t="str">
        <f t="shared" ref="AY96:AY97" si="51">AVERAGE(AE96:AX96)</f>
        <v>#DIV/0!</v>
      </c>
      <c r="AZ96" s="32" t="str">
        <f t="shared" ref="AZ96:AZ97" si="52">STDEV(AE96:AX96)</f>
        <v>#DIV/0!</v>
      </c>
      <c r="BA96" s="17" t="str">
        <f>100-AY96</f>
        <v>#DIV/0!</v>
      </c>
      <c r="BC96" s="3"/>
      <c r="BD96" s="3"/>
    </row>
    <row r="97" ht="15.75" customHeight="1">
      <c r="B97" s="32" t="s">
        <v>50</v>
      </c>
      <c r="C97" s="3">
        <f t="shared" ref="C97:V97" si="48">STDEV(C88:C92)</f>
        <v>0.4200935476</v>
      </c>
      <c r="D97" s="3">
        <f t="shared" si="48"/>
        <v>1.228563906</v>
      </c>
      <c r="E97" s="3">
        <f t="shared" si="48"/>
        <v>2.447652945</v>
      </c>
      <c r="F97" s="3">
        <f t="shared" si="48"/>
        <v>0.5877239223</v>
      </c>
      <c r="G97" s="3">
        <f t="shared" si="48"/>
        <v>0.3472830319</v>
      </c>
      <c r="H97" s="3">
        <f t="shared" si="48"/>
        <v>3.261742637</v>
      </c>
      <c r="I97" s="3">
        <f t="shared" si="48"/>
        <v>1.074579289</v>
      </c>
      <c r="J97" s="3">
        <f t="shared" si="48"/>
        <v>0.1728027803</v>
      </c>
      <c r="K97" s="3">
        <f t="shared" si="48"/>
        <v>1.709897768</v>
      </c>
      <c r="L97" s="3">
        <f t="shared" si="48"/>
        <v>1.694683925</v>
      </c>
      <c r="M97" s="3">
        <f t="shared" si="48"/>
        <v>0.2137039402</v>
      </c>
      <c r="N97" s="3">
        <f t="shared" si="48"/>
        <v>1.494794975</v>
      </c>
      <c r="O97" s="3">
        <f t="shared" si="48"/>
        <v>0.2060667348</v>
      </c>
      <c r="P97" s="3">
        <f t="shared" si="48"/>
        <v>2.621966691</v>
      </c>
      <c r="Q97" s="3">
        <f t="shared" si="48"/>
        <v>0.9067193563</v>
      </c>
      <c r="R97" s="3">
        <f t="shared" si="48"/>
        <v>2.180093145</v>
      </c>
      <c r="S97" s="3">
        <f t="shared" si="48"/>
        <v>0.8998753116</v>
      </c>
      <c r="T97" s="3">
        <f t="shared" si="48"/>
        <v>0.8567141258</v>
      </c>
      <c r="U97" s="3">
        <f t="shared" si="48"/>
        <v>1.555099186</v>
      </c>
      <c r="V97" s="3">
        <f t="shared" si="48"/>
        <v>3.329122461</v>
      </c>
      <c r="W97" s="17">
        <f t="shared" si="49"/>
        <v>1.360458984</v>
      </c>
      <c r="X97" s="17">
        <f t="shared" si="50"/>
        <v>0.988419261</v>
      </c>
      <c r="Y97" s="18"/>
      <c r="Z97" s="18"/>
      <c r="AA97" s="18"/>
      <c r="AC97" s="29"/>
      <c r="AD97" s="30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32" t="str">
        <f t="shared" si="51"/>
        <v>#DIV/0!</v>
      </c>
      <c r="AZ97" s="32" t="str">
        <f t="shared" si="52"/>
        <v>#DIV/0!</v>
      </c>
      <c r="BC97" s="3"/>
      <c r="BD97" s="3"/>
    </row>
    <row r="98" ht="15.75" customHeight="1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18"/>
      <c r="X98" s="18"/>
      <c r="Y98" s="18"/>
      <c r="Z98" s="18"/>
      <c r="AA98" s="18"/>
      <c r="AC98" s="30"/>
      <c r="AD98" s="30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BC98" s="3"/>
      <c r="BD98" s="3"/>
    </row>
    <row r="99" ht="15.75" customHeight="1">
      <c r="A99" s="31" t="s">
        <v>51</v>
      </c>
      <c r="B99" s="19" t="s">
        <v>34</v>
      </c>
      <c r="C99" s="3">
        <v>338.0</v>
      </c>
      <c r="D99" s="20">
        <v>61.0</v>
      </c>
      <c r="E99" s="20">
        <v>333.0</v>
      </c>
      <c r="F99" s="3">
        <v>28.0</v>
      </c>
      <c r="G99" s="20">
        <v>54.0</v>
      </c>
      <c r="H99" s="3">
        <v>495.0</v>
      </c>
      <c r="I99" s="20">
        <v>60.0</v>
      </c>
      <c r="J99" s="20">
        <v>10.0</v>
      </c>
      <c r="K99" s="3">
        <v>926.0</v>
      </c>
      <c r="L99" s="20">
        <v>0.0</v>
      </c>
      <c r="M99" s="20">
        <v>243.0</v>
      </c>
      <c r="N99" s="20">
        <v>131.0</v>
      </c>
      <c r="O99" s="20">
        <v>100.0</v>
      </c>
      <c r="P99" s="20">
        <v>209.0</v>
      </c>
      <c r="Q99" s="20">
        <v>181.0</v>
      </c>
      <c r="R99" s="20">
        <v>310.0</v>
      </c>
      <c r="S99" s="20">
        <v>91.0</v>
      </c>
      <c r="T99" s="3">
        <v>488.0</v>
      </c>
      <c r="U99" s="20">
        <v>3.0</v>
      </c>
      <c r="V99" s="20">
        <v>121.0</v>
      </c>
      <c r="W99" s="18"/>
      <c r="X99" s="18"/>
      <c r="Y99" s="18"/>
      <c r="Z99" s="18"/>
      <c r="AA99" s="18"/>
      <c r="AC99" s="29"/>
      <c r="AD99" s="21"/>
      <c r="AE99" s="2"/>
      <c r="AF99" s="22"/>
      <c r="AG99" s="22"/>
      <c r="AH99" s="2"/>
      <c r="AI99" s="22"/>
      <c r="AJ99" s="2"/>
      <c r="AK99" s="22"/>
      <c r="AL99" s="22"/>
      <c r="AM99" s="2"/>
      <c r="AN99" s="22"/>
      <c r="AO99" s="22"/>
      <c r="AP99" s="22"/>
      <c r="AQ99" s="22"/>
      <c r="AR99" s="22"/>
      <c r="AS99" s="22"/>
      <c r="AT99" s="22"/>
      <c r="AU99" s="22"/>
      <c r="AV99" s="2"/>
      <c r="AW99" s="22"/>
      <c r="AX99" s="22"/>
      <c r="BC99" s="20"/>
      <c r="BD99" s="20"/>
    </row>
    <row r="100" ht="15.75" customHeight="1">
      <c r="B100" s="19" t="s">
        <v>35</v>
      </c>
      <c r="C100" s="3">
        <v>483.0</v>
      </c>
      <c r="D100" s="20">
        <v>133.0</v>
      </c>
      <c r="E100" s="20">
        <v>738.0</v>
      </c>
      <c r="F100" s="3">
        <v>171.0</v>
      </c>
      <c r="G100" s="20">
        <v>128.0</v>
      </c>
      <c r="H100" s="3">
        <v>564.0</v>
      </c>
      <c r="I100" s="20">
        <v>60.0</v>
      </c>
      <c r="J100" s="20">
        <v>10.0</v>
      </c>
      <c r="K100" s="3">
        <v>210.0</v>
      </c>
      <c r="L100" s="20">
        <v>0.0</v>
      </c>
      <c r="M100" s="20">
        <v>262.0</v>
      </c>
      <c r="N100" s="20">
        <v>265.0</v>
      </c>
      <c r="O100" s="20">
        <v>118.0</v>
      </c>
      <c r="P100" s="20">
        <v>314.0</v>
      </c>
      <c r="Q100" s="20">
        <v>215.0</v>
      </c>
      <c r="R100" s="20">
        <v>28.0</v>
      </c>
      <c r="S100" s="20">
        <v>60.0</v>
      </c>
      <c r="T100" s="3">
        <v>971.0</v>
      </c>
      <c r="U100" s="20">
        <v>0.0</v>
      </c>
      <c r="V100" s="20">
        <v>61.0</v>
      </c>
      <c r="W100" s="18"/>
      <c r="X100" s="18"/>
      <c r="Y100" s="18"/>
      <c r="Z100" s="18"/>
      <c r="AA100" s="18"/>
      <c r="AD100" s="21"/>
      <c r="AE100" s="2"/>
      <c r="AF100" s="22"/>
      <c r="AG100" s="22"/>
      <c r="AH100" s="2"/>
      <c r="AI100" s="22"/>
      <c r="AJ100" s="2"/>
      <c r="AK100" s="22"/>
      <c r="AL100" s="22"/>
      <c r="AM100" s="2"/>
      <c r="AN100" s="22"/>
      <c r="AO100" s="22"/>
      <c r="AP100" s="22"/>
      <c r="AQ100" s="22"/>
      <c r="AR100" s="22"/>
      <c r="AS100" s="22"/>
      <c r="AT100" s="22"/>
      <c r="AU100" s="22"/>
      <c r="AV100" s="2"/>
      <c r="AW100" s="22"/>
      <c r="AX100" s="22"/>
      <c r="BC100" s="20"/>
      <c r="BD100" s="20"/>
    </row>
    <row r="101" ht="15.75" customHeight="1">
      <c r="B101" s="19" t="s">
        <v>36</v>
      </c>
      <c r="C101" s="3">
        <v>410.0</v>
      </c>
      <c r="D101" s="20">
        <v>25.0</v>
      </c>
      <c r="E101" s="20">
        <v>333.0</v>
      </c>
      <c r="F101" s="3">
        <v>159.0</v>
      </c>
      <c r="G101" s="20">
        <v>107.0</v>
      </c>
      <c r="H101" s="3">
        <v>885.0</v>
      </c>
      <c r="I101" s="20">
        <v>100.0</v>
      </c>
      <c r="J101" s="20">
        <v>0.0</v>
      </c>
      <c r="K101" s="3">
        <v>1092.0</v>
      </c>
      <c r="L101" s="20">
        <v>31.0</v>
      </c>
      <c r="M101" s="20">
        <v>243.0</v>
      </c>
      <c r="N101" s="20">
        <v>303.0</v>
      </c>
      <c r="O101" s="20">
        <v>34.0</v>
      </c>
      <c r="P101" s="20">
        <v>416.0</v>
      </c>
      <c r="Q101" s="20">
        <v>202.0</v>
      </c>
      <c r="R101" s="20">
        <v>28.0</v>
      </c>
      <c r="S101" s="20">
        <v>106.0</v>
      </c>
      <c r="T101" s="3">
        <v>600.0</v>
      </c>
      <c r="U101" s="20">
        <v>90.0</v>
      </c>
      <c r="V101" s="20">
        <v>1.0</v>
      </c>
      <c r="W101" s="18"/>
      <c r="X101" s="18"/>
      <c r="Y101" s="18"/>
      <c r="Z101" s="18"/>
      <c r="AA101" s="18"/>
      <c r="AD101" s="21"/>
      <c r="AE101" s="2"/>
      <c r="AF101" s="22"/>
      <c r="AG101" s="22"/>
      <c r="AH101" s="2"/>
      <c r="AI101" s="22"/>
      <c r="AJ101" s="2"/>
      <c r="AK101" s="22"/>
      <c r="AL101" s="22"/>
      <c r="AM101" s="2"/>
      <c r="AN101" s="22"/>
      <c r="AO101" s="22"/>
      <c r="AP101" s="22"/>
      <c r="AQ101" s="22"/>
      <c r="AR101" s="22"/>
      <c r="AS101" s="22"/>
      <c r="AT101" s="22"/>
      <c r="AU101" s="22"/>
      <c r="AV101" s="2"/>
      <c r="AW101" s="22"/>
      <c r="AX101" s="22"/>
      <c r="BC101" s="20"/>
      <c r="BD101" s="20"/>
    </row>
    <row r="102" ht="15.75" customHeight="1">
      <c r="B102" s="19" t="s">
        <v>37</v>
      </c>
      <c r="C102" s="3">
        <v>399.0</v>
      </c>
      <c r="D102" s="20">
        <v>133.0</v>
      </c>
      <c r="E102" s="20">
        <v>301.0</v>
      </c>
      <c r="F102" s="3">
        <v>40.0</v>
      </c>
      <c r="G102" s="20">
        <v>33.0</v>
      </c>
      <c r="H102" s="3">
        <v>53.0</v>
      </c>
      <c r="I102" s="20">
        <v>144.0</v>
      </c>
      <c r="J102" s="20">
        <v>10.0</v>
      </c>
      <c r="K102" s="3">
        <v>517.0</v>
      </c>
      <c r="L102" s="20">
        <v>3.0</v>
      </c>
      <c r="M102" s="20">
        <v>244.0</v>
      </c>
      <c r="N102" s="20">
        <v>130.0</v>
      </c>
      <c r="O102" s="20">
        <v>118.0</v>
      </c>
      <c r="P102" s="20">
        <v>366.0</v>
      </c>
      <c r="Q102" s="20">
        <v>234.0</v>
      </c>
      <c r="R102" s="20">
        <v>44.0</v>
      </c>
      <c r="S102" s="20">
        <v>60.0</v>
      </c>
      <c r="T102" s="3">
        <v>641.0</v>
      </c>
      <c r="U102" s="20">
        <v>0.0</v>
      </c>
      <c r="V102" s="20">
        <v>308.0</v>
      </c>
      <c r="W102" s="18"/>
      <c r="X102" s="18"/>
      <c r="Y102" s="18"/>
      <c r="Z102" s="18"/>
      <c r="AA102" s="18"/>
      <c r="AD102" s="21"/>
      <c r="AE102" s="2"/>
      <c r="AF102" s="22"/>
      <c r="AG102" s="22"/>
      <c r="AH102" s="2"/>
      <c r="AI102" s="22"/>
      <c r="AJ102" s="2"/>
      <c r="AK102" s="22"/>
      <c r="AL102" s="22"/>
      <c r="AM102" s="2"/>
      <c r="AN102" s="22"/>
      <c r="AO102" s="22"/>
      <c r="AP102" s="22"/>
      <c r="AQ102" s="22"/>
      <c r="AR102" s="22"/>
      <c r="AS102" s="22"/>
      <c r="AT102" s="22"/>
      <c r="AU102" s="22"/>
      <c r="AV102" s="2"/>
      <c r="AW102" s="22"/>
      <c r="AX102" s="22"/>
      <c r="BC102" s="20"/>
      <c r="BD102" s="20"/>
    </row>
    <row r="103" ht="15.75" customHeight="1">
      <c r="B103" s="19" t="s">
        <v>38</v>
      </c>
      <c r="C103" s="3">
        <v>505.0</v>
      </c>
      <c r="D103" s="20">
        <v>133.0</v>
      </c>
      <c r="E103" s="20">
        <v>647.0</v>
      </c>
      <c r="F103" s="3">
        <v>45.0</v>
      </c>
      <c r="G103" s="20">
        <v>24.0</v>
      </c>
      <c r="H103" s="3">
        <v>399.0</v>
      </c>
      <c r="I103" s="20">
        <v>60.0</v>
      </c>
      <c r="J103" s="20">
        <v>10.0</v>
      </c>
      <c r="K103" s="3">
        <v>112.0</v>
      </c>
      <c r="L103" s="20">
        <v>121.0</v>
      </c>
      <c r="M103" s="20">
        <v>243.0</v>
      </c>
      <c r="N103" s="20">
        <v>130.0</v>
      </c>
      <c r="O103" s="20">
        <v>102.0</v>
      </c>
      <c r="P103" s="20">
        <v>616.0</v>
      </c>
      <c r="Q103" s="20">
        <v>185.0</v>
      </c>
      <c r="R103" s="20">
        <v>52.0</v>
      </c>
      <c r="S103" s="20">
        <v>70.0</v>
      </c>
      <c r="T103" s="3">
        <v>900.0</v>
      </c>
      <c r="U103" s="20">
        <v>0.0</v>
      </c>
      <c r="V103" s="20">
        <v>812.0</v>
      </c>
      <c r="W103" s="18"/>
      <c r="X103" s="18"/>
      <c r="Y103" s="18"/>
      <c r="Z103" s="18"/>
      <c r="AA103" s="18"/>
      <c r="AD103" s="21"/>
      <c r="AE103" s="2"/>
      <c r="AF103" s="22"/>
      <c r="AG103" s="22"/>
      <c r="AH103" s="2"/>
      <c r="AI103" s="22"/>
      <c r="AJ103" s="2"/>
      <c r="AK103" s="22"/>
      <c r="AL103" s="22"/>
      <c r="AM103" s="2"/>
      <c r="AN103" s="22"/>
      <c r="AO103" s="22"/>
      <c r="AP103" s="22"/>
      <c r="AQ103" s="22"/>
      <c r="AR103" s="22"/>
      <c r="AS103" s="22"/>
      <c r="AT103" s="22"/>
      <c r="AU103" s="22"/>
      <c r="AV103" s="2"/>
      <c r="AW103" s="22"/>
      <c r="AX103" s="22"/>
      <c r="BC103" s="20"/>
      <c r="BD103" s="20"/>
    </row>
    <row r="104" ht="15.75" customHeight="1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18"/>
      <c r="X104" s="18"/>
      <c r="Y104" s="18"/>
      <c r="Z104" s="18"/>
      <c r="AA104" s="18"/>
      <c r="AC104" s="30"/>
      <c r="AD104" s="30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BC104" s="3"/>
      <c r="BD104" s="3"/>
    </row>
    <row r="105" ht="15.75" customHeight="1">
      <c r="A105" s="32" t="s">
        <v>52</v>
      </c>
      <c r="C105" s="3">
        <v>16063.0</v>
      </c>
      <c r="D105" s="3">
        <v>4144.0</v>
      </c>
      <c r="E105" s="3">
        <v>8404.0</v>
      </c>
      <c r="F105" s="3">
        <v>11935.0</v>
      </c>
      <c r="G105" s="3">
        <v>13251.0</v>
      </c>
      <c r="H105" s="3">
        <v>9200.0</v>
      </c>
      <c r="I105" s="3">
        <v>3476.0</v>
      </c>
      <c r="J105" s="3">
        <v>2588.0</v>
      </c>
      <c r="K105" s="3">
        <v>25178.0</v>
      </c>
      <c r="L105" s="3">
        <v>3067.0</v>
      </c>
      <c r="M105" s="3">
        <v>3929.0</v>
      </c>
      <c r="N105" s="3">
        <v>5702.0</v>
      </c>
      <c r="O105" s="3">
        <v>16900.0</v>
      </c>
      <c r="P105" s="3">
        <v>5743.0</v>
      </c>
      <c r="Q105" s="3">
        <v>2412.0</v>
      </c>
      <c r="R105" s="3">
        <v>5600.0</v>
      </c>
      <c r="S105" s="3">
        <v>2266.0</v>
      </c>
      <c r="T105" s="3">
        <v>24054.0</v>
      </c>
      <c r="U105" s="3">
        <v>2568.0</v>
      </c>
      <c r="V105" s="3">
        <v>9883.0</v>
      </c>
      <c r="W105" s="18"/>
      <c r="X105" s="18"/>
      <c r="Y105" s="18"/>
      <c r="Z105" s="18"/>
      <c r="AA105" s="18"/>
      <c r="AC105" s="30"/>
      <c r="AD105" s="30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BC105" s="3"/>
      <c r="BD105" s="3"/>
    </row>
    <row r="106" ht="15.75" customHeight="1">
      <c r="W106" s="18"/>
      <c r="X106" s="18"/>
      <c r="Y106" s="18"/>
      <c r="Z106" s="18"/>
      <c r="AA106" s="18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</row>
    <row r="107" ht="15.75" customHeight="1">
      <c r="A107" s="33" t="s">
        <v>61</v>
      </c>
      <c r="W107" s="16"/>
      <c r="X107" s="16"/>
      <c r="Y107" s="18"/>
      <c r="Z107" s="18"/>
      <c r="AA107" s="18"/>
      <c r="AC107" s="5"/>
      <c r="AY107" s="3"/>
      <c r="AZ107" s="3"/>
      <c r="BC107" s="33"/>
      <c r="BD107" s="33"/>
    </row>
    <row r="108" ht="15.75" customHeight="1">
      <c r="A108" s="3"/>
      <c r="B108" s="2"/>
      <c r="C108" s="2" t="s">
        <v>13</v>
      </c>
      <c r="D108" s="2" t="s">
        <v>14</v>
      </c>
      <c r="E108" s="2" t="s">
        <v>15</v>
      </c>
      <c r="F108" s="2" t="s">
        <v>16</v>
      </c>
      <c r="G108" s="2" t="s">
        <v>17</v>
      </c>
      <c r="H108" s="2" t="s">
        <v>18</v>
      </c>
      <c r="I108" s="2" t="s">
        <v>19</v>
      </c>
      <c r="J108" s="2" t="s">
        <v>20</v>
      </c>
      <c r="K108" s="2" t="s">
        <v>21</v>
      </c>
      <c r="L108" s="2" t="s">
        <v>22</v>
      </c>
      <c r="M108" s="2" t="s">
        <v>23</v>
      </c>
      <c r="N108" s="2" t="s">
        <v>24</v>
      </c>
      <c r="O108" s="2" t="s">
        <v>25</v>
      </c>
      <c r="P108" s="2" t="s">
        <v>26</v>
      </c>
      <c r="Q108" s="2" t="s">
        <v>27</v>
      </c>
      <c r="R108" s="2" t="s">
        <v>28</v>
      </c>
      <c r="S108" s="2" t="s">
        <v>29</v>
      </c>
      <c r="T108" s="2" t="s">
        <v>30</v>
      </c>
      <c r="U108" s="2" t="s">
        <v>31</v>
      </c>
      <c r="V108" s="2" t="s">
        <v>32</v>
      </c>
      <c r="W108" s="16"/>
      <c r="X108" s="16"/>
      <c r="Y108" s="17"/>
      <c r="Z108" s="17"/>
      <c r="AA108" s="18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3" t="s">
        <v>54</v>
      </c>
      <c r="AZ108" s="3" t="s">
        <v>55</v>
      </c>
      <c r="BA108" s="32" t="s">
        <v>56</v>
      </c>
      <c r="BC108" s="3"/>
      <c r="BD108" s="3"/>
    </row>
    <row r="109" ht="15.75" customHeight="1">
      <c r="A109" s="25" t="s">
        <v>33</v>
      </c>
      <c r="B109" s="25" t="s">
        <v>34</v>
      </c>
      <c r="C109" s="20">
        <v>0.0</v>
      </c>
      <c r="D109" s="20">
        <v>1.0</v>
      </c>
      <c r="E109" s="20">
        <v>1.0</v>
      </c>
      <c r="F109" s="20">
        <v>1.0</v>
      </c>
      <c r="G109" s="20">
        <v>1.0</v>
      </c>
      <c r="H109" s="20">
        <v>1.0</v>
      </c>
      <c r="I109" s="20">
        <v>0.0</v>
      </c>
      <c r="J109" s="20">
        <v>1.0</v>
      </c>
      <c r="K109" s="20">
        <v>1.0</v>
      </c>
      <c r="L109" s="20">
        <v>1.0</v>
      </c>
      <c r="M109" s="40" t="s">
        <v>62</v>
      </c>
      <c r="N109" s="20">
        <v>0.0</v>
      </c>
      <c r="O109" s="20">
        <v>1.0</v>
      </c>
      <c r="P109" s="20">
        <v>1.0</v>
      </c>
      <c r="Q109" s="20">
        <v>1.0</v>
      </c>
      <c r="R109" s="20">
        <v>1.0</v>
      </c>
      <c r="S109" s="20">
        <v>1.0</v>
      </c>
      <c r="T109" s="20">
        <v>1.0</v>
      </c>
      <c r="U109" s="20">
        <v>1.0</v>
      </c>
      <c r="V109" s="20">
        <v>1.0</v>
      </c>
      <c r="W109" s="16"/>
      <c r="X109" s="16"/>
      <c r="Y109" s="18"/>
      <c r="Z109" s="18"/>
      <c r="AA109" s="18"/>
      <c r="AC109" s="27"/>
      <c r="AD109" s="27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41"/>
      <c r="AP109" s="22"/>
      <c r="AQ109" s="22"/>
      <c r="AR109" s="22"/>
      <c r="AS109" s="22"/>
      <c r="AT109" s="22"/>
      <c r="AU109" s="22"/>
      <c r="AV109" s="22"/>
      <c r="AW109" s="22"/>
      <c r="AX109" s="22"/>
      <c r="AY109" s="3"/>
      <c r="AZ109" s="3"/>
      <c r="BC109" s="20"/>
      <c r="BD109" s="20"/>
    </row>
    <row r="110" ht="15.75" customHeight="1">
      <c r="B110" s="25" t="s">
        <v>35</v>
      </c>
      <c r="C110" s="20">
        <v>0.0</v>
      </c>
      <c r="D110" s="20">
        <v>1.0</v>
      </c>
      <c r="E110" s="20">
        <v>0.0</v>
      </c>
      <c r="F110" s="20">
        <v>1.0</v>
      </c>
      <c r="G110" s="20">
        <v>1.0</v>
      </c>
      <c r="H110" s="20">
        <v>1.0</v>
      </c>
      <c r="I110" s="20">
        <v>1.0</v>
      </c>
      <c r="J110" s="20">
        <v>1.0</v>
      </c>
      <c r="K110" s="20">
        <v>1.0</v>
      </c>
      <c r="L110" s="20">
        <v>1.0</v>
      </c>
      <c r="N110" s="20">
        <v>1.0</v>
      </c>
      <c r="O110" s="20">
        <v>1.0</v>
      </c>
      <c r="P110" s="20">
        <v>1.0</v>
      </c>
      <c r="Q110" s="20">
        <v>1.0</v>
      </c>
      <c r="R110" s="20">
        <v>1.0</v>
      </c>
      <c r="S110" s="20">
        <v>1.0</v>
      </c>
      <c r="T110" s="20">
        <v>0.0</v>
      </c>
      <c r="U110" s="20">
        <v>1.0</v>
      </c>
      <c r="V110" s="20">
        <v>1.0</v>
      </c>
      <c r="W110" s="16"/>
      <c r="X110" s="16"/>
      <c r="Y110" s="18"/>
      <c r="Z110" s="18"/>
      <c r="AA110" s="18"/>
      <c r="AC110" s="27"/>
      <c r="AD110" s="27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41"/>
      <c r="AP110" s="22"/>
      <c r="AQ110" s="22"/>
      <c r="AR110" s="22"/>
      <c r="AS110" s="22"/>
      <c r="AT110" s="22"/>
      <c r="AU110" s="22"/>
      <c r="AV110" s="22"/>
      <c r="AW110" s="22"/>
      <c r="AX110" s="22"/>
      <c r="AY110" s="3"/>
      <c r="AZ110" s="3"/>
      <c r="BC110" s="20"/>
      <c r="BD110" s="20"/>
    </row>
    <row r="111" ht="15.75" customHeight="1">
      <c r="B111" s="25" t="s">
        <v>36</v>
      </c>
      <c r="C111" s="20">
        <v>0.0</v>
      </c>
      <c r="D111" s="20">
        <v>1.0</v>
      </c>
      <c r="E111" s="20">
        <v>0.0</v>
      </c>
      <c r="F111" s="20">
        <v>1.0</v>
      </c>
      <c r="G111" s="20">
        <v>1.0</v>
      </c>
      <c r="H111" s="20">
        <v>1.0</v>
      </c>
      <c r="I111" s="20">
        <v>0.0</v>
      </c>
      <c r="J111" s="20">
        <v>1.0</v>
      </c>
      <c r="K111" s="20">
        <v>1.0</v>
      </c>
      <c r="L111" s="20">
        <v>1.0</v>
      </c>
      <c r="N111" s="20">
        <v>1.0</v>
      </c>
      <c r="O111" s="20">
        <v>1.0</v>
      </c>
      <c r="P111" s="20">
        <v>1.0</v>
      </c>
      <c r="Q111" s="20">
        <v>1.0</v>
      </c>
      <c r="R111" s="20">
        <v>1.0</v>
      </c>
      <c r="S111" s="20">
        <v>1.0</v>
      </c>
      <c r="T111" s="20">
        <v>1.0</v>
      </c>
      <c r="U111" s="20">
        <v>1.0</v>
      </c>
      <c r="V111" s="20">
        <v>1.0</v>
      </c>
      <c r="W111" s="16"/>
      <c r="X111" s="16"/>
      <c r="Y111" s="18"/>
      <c r="Z111" s="18"/>
      <c r="AA111" s="18"/>
      <c r="AC111" s="27"/>
      <c r="AD111" s="27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41"/>
      <c r="AP111" s="22"/>
      <c r="AQ111" s="22"/>
      <c r="AR111" s="22"/>
      <c r="AS111" s="22"/>
      <c r="AT111" s="22"/>
      <c r="AU111" s="22"/>
      <c r="AV111" s="22"/>
      <c r="AW111" s="22"/>
      <c r="AX111" s="22"/>
      <c r="AY111" s="3"/>
      <c r="AZ111" s="3"/>
      <c r="BC111" s="20"/>
      <c r="BD111" s="20"/>
    </row>
    <row r="112" ht="15.75" customHeight="1">
      <c r="B112" s="25" t="s">
        <v>37</v>
      </c>
      <c r="C112" s="20">
        <v>1.0</v>
      </c>
      <c r="D112" s="20">
        <v>1.0</v>
      </c>
      <c r="E112" s="20">
        <v>1.0</v>
      </c>
      <c r="F112" s="20">
        <v>1.0</v>
      </c>
      <c r="G112" s="20">
        <v>1.0</v>
      </c>
      <c r="H112" s="20">
        <v>1.0</v>
      </c>
      <c r="I112" s="20">
        <v>1.0</v>
      </c>
      <c r="J112" s="20">
        <v>1.0</v>
      </c>
      <c r="K112" s="20">
        <v>1.0</v>
      </c>
      <c r="L112" s="20">
        <v>1.0</v>
      </c>
      <c r="M112" s="3"/>
      <c r="N112" s="20">
        <v>0.0</v>
      </c>
      <c r="O112" s="20">
        <v>1.0</v>
      </c>
      <c r="P112" s="20">
        <v>1.0</v>
      </c>
      <c r="Q112" s="20">
        <v>1.0</v>
      </c>
      <c r="R112" s="20">
        <v>1.0</v>
      </c>
      <c r="S112" s="20">
        <v>1.0</v>
      </c>
      <c r="T112" s="20">
        <v>1.0</v>
      </c>
      <c r="U112" s="20">
        <v>1.0</v>
      </c>
      <c r="V112" s="20">
        <v>1.0</v>
      </c>
      <c r="W112" s="16"/>
      <c r="X112" s="16"/>
      <c r="Y112" s="18"/>
      <c r="Z112" s="18"/>
      <c r="AA112" s="18"/>
      <c r="AC112" s="27"/>
      <c r="AD112" s="27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"/>
      <c r="AP112" s="22"/>
      <c r="AQ112" s="22"/>
      <c r="AR112" s="22"/>
      <c r="AS112" s="22"/>
      <c r="AT112" s="22"/>
      <c r="AU112" s="22"/>
      <c r="AV112" s="22"/>
      <c r="AW112" s="22"/>
      <c r="AX112" s="22"/>
      <c r="AY112" s="3"/>
      <c r="AZ112" s="3"/>
      <c r="BC112" s="20"/>
      <c r="BD112" s="20"/>
    </row>
    <row r="113" ht="15.75" customHeight="1">
      <c r="B113" s="25" t="s">
        <v>38</v>
      </c>
      <c r="C113" s="20">
        <v>0.0</v>
      </c>
      <c r="D113" s="20">
        <v>1.0</v>
      </c>
      <c r="E113" s="20">
        <v>1.0</v>
      </c>
      <c r="F113" s="20">
        <v>1.0</v>
      </c>
      <c r="G113" s="20">
        <v>1.0</v>
      </c>
      <c r="H113" s="20">
        <v>1.0</v>
      </c>
      <c r="I113" s="20">
        <v>0.0</v>
      </c>
      <c r="J113" s="20">
        <v>1.0</v>
      </c>
      <c r="K113" s="20">
        <v>1.0</v>
      </c>
      <c r="L113" s="20">
        <v>1.0</v>
      </c>
      <c r="M113" s="3"/>
      <c r="N113" s="20">
        <v>0.0</v>
      </c>
      <c r="O113" s="20">
        <v>0.0</v>
      </c>
      <c r="P113" s="20">
        <v>1.0</v>
      </c>
      <c r="Q113" s="20">
        <v>1.0</v>
      </c>
      <c r="R113" s="20">
        <v>1.0</v>
      </c>
      <c r="S113" s="20">
        <v>1.0</v>
      </c>
      <c r="T113" s="20">
        <v>1.0</v>
      </c>
      <c r="U113" s="20">
        <v>1.0</v>
      </c>
      <c r="V113" s="20">
        <v>1.0</v>
      </c>
      <c r="W113" s="16"/>
      <c r="X113" s="16"/>
      <c r="Y113" s="18"/>
      <c r="Z113" s="18"/>
      <c r="AA113" s="18"/>
      <c r="AC113" s="27"/>
      <c r="AD113" s="27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"/>
      <c r="AP113" s="22"/>
      <c r="AQ113" s="22"/>
      <c r="AR113" s="22"/>
      <c r="AS113" s="22"/>
      <c r="AT113" s="22"/>
      <c r="AU113" s="22"/>
      <c r="AV113" s="22"/>
      <c r="AW113" s="22"/>
      <c r="AX113" s="22"/>
      <c r="AY113" s="3"/>
      <c r="AZ113" s="3"/>
      <c r="BC113" s="20"/>
      <c r="BD113" s="20"/>
    </row>
    <row r="114" ht="15.75" customHeight="1">
      <c r="B114" s="25" t="s">
        <v>39</v>
      </c>
      <c r="C114" s="20">
        <v>20.0</v>
      </c>
      <c r="D114" s="20">
        <v>100.0</v>
      </c>
      <c r="E114" s="20">
        <v>60.0</v>
      </c>
      <c r="F114" s="20">
        <v>100.0</v>
      </c>
      <c r="G114" s="20">
        <v>100.0</v>
      </c>
      <c r="H114" s="20">
        <v>100.0</v>
      </c>
      <c r="I114" s="20">
        <v>40.0</v>
      </c>
      <c r="J114" s="20">
        <v>100.0</v>
      </c>
      <c r="K114" s="20">
        <v>100.0</v>
      </c>
      <c r="L114" s="20">
        <v>100.0</v>
      </c>
      <c r="M114" s="3"/>
      <c r="N114" s="20">
        <v>40.0</v>
      </c>
      <c r="O114" s="20">
        <v>80.0</v>
      </c>
      <c r="P114" s="20">
        <v>100.0</v>
      </c>
      <c r="Q114" s="20">
        <v>100.0</v>
      </c>
      <c r="R114" s="20">
        <v>100.0</v>
      </c>
      <c r="S114" s="20">
        <v>100.0</v>
      </c>
      <c r="T114" s="20">
        <v>80.0</v>
      </c>
      <c r="U114" s="20">
        <v>100.0</v>
      </c>
      <c r="V114" s="20">
        <v>100.0</v>
      </c>
      <c r="W114" s="16">
        <f>AVERAGE(C114:V114)</f>
        <v>85.26315789</v>
      </c>
      <c r="X114" s="16">
        <f>STDEV(C114:V114)</f>
        <v>25.68363531</v>
      </c>
      <c r="Y114" s="17">
        <f>(13/19) * 100</f>
        <v>68.42105263</v>
      </c>
      <c r="Z114" s="17"/>
      <c r="AA114" s="18"/>
      <c r="AC114" s="27"/>
      <c r="AD114" s="21">
        <f>6/19*100</f>
        <v>31.57894737</v>
      </c>
      <c r="AG114" s="22"/>
      <c r="AH114" s="22"/>
      <c r="AI114" s="22"/>
      <c r="AJ114" s="22"/>
      <c r="AK114" s="22"/>
      <c r="AL114" s="22"/>
      <c r="AM114" s="22"/>
      <c r="AN114" s="22"/>
      <c r="AO114" s="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0" t="str">
        <f>AVERAGE(AE114:AX114)</f>
        <v>#DIV/0!</v>
      </c>
      <c r="AZ114" s="20" t="str">
        <f>STDEV(AE114:AX114)</f>
        <v>#DIV/0!</v>
      </c>
      <c r="BA114" s="17">
        <f>(13/19) * 100</f>
        <v>68.42105263</v>
      </c>
      <c r="BC114" s="20"/>
      <c r="BD114" s="20"/>
    </row>
    <row r="115" ht="15.75" customHeight="1">
      <c r="A115" s="25" t="s">
        <v>40</v>
      </c>
      <c r="B115" s="25" t="s">
        <v>34</v>
      </c>
      <c r="C115" s="20">
        <v>0.0</v>
      </c>
      <c r="D115" s="20">
        <v>100.0</v>
      </c>
      <c r="E115" s="20">
        <v>100.0</v>
      </c>
      <c r="F115" s="23"/>
      <c r="G115" s="24"/>
      <c r="H115" s="23"/>
      <c r="I115" s="24"/>
      <c r="J115" s="24"/>
      <c r="K115" s="24"/>
      <c r="L115" s="22">
        <v>100.0</v>
      </c>
      <c r="M115" s="2"/>
      <c r="N115" s="24"/>
      <c r="O115" s="24"/>
      <c r="P115" s="24"/>
      <c r="Q115" s="20">
        <v>100.0</v>
      </c>
      <c r="R115" s="20">
        <v>100.0</v>
      </c>
      <c r="S115" s="22">
        <v>100.0</v>
      </c>
      <c r="T115" s="24"/>
      <c r="U115" s="22">
        <v>100.0</v>
      </c>
      <c r="V115" s="24"/>
      <c r="W115" s="16"/>
      <c r="X115" s="16"/>
      <c r="Y115" s="17"/>
      <c r="Z115" s="17"/>
      <c r="AA115" s="18"/>
      <c r="AC115" s="27"/>
      <c r="AD115" s="27"/>
      <c r="AE115" s="22"/>
      <c r="AF115" s="22"/>
      <c r="AG115" s="22"/>
      <c r="AH115" s="2"/>
      <c r="AI115" s="2"/>
      <c r="AJ115" s="2"/>
      <c r="AK115" s="2"/>
      <c r="AL115" s="2"/>
      <c r="AM115" s="2"/>
      <c r="AN115" s="22"/>
      <c r="AO115" s="2"/>
      <c r="AP115" s="2"/>
      <c r="AQ115" s="2"/>
      <c r="AR115" s="2"/>
      <c r="AS115" s="22"/>
      <c r="AT115" s="22"/>
      <c r="AU115" s="22"/>
      <c r="AV115" s="2"/>
      <c r="AW115" s="22"/>
      <c r="AX115" s="2"/>
      <c r="AY115" s="3"/>
      <c r="AZ115" s="3"/>
      <c r="BA115" s="32" t="s">
        <v>57</v>
      </c>
      <c r="BC115" s="24"/>
      <c r="BD115" s="24"/>
    </row>
    <row r="116" ht="15.75" customHeight="1">
      <c r="B116" s="25" t="s">
        <v>35</v>
      </c>
      <c r="C116" s="20">
        <v>0.0</v>
      </c>
      <c r="D116" s="20">
        <v>100.0</v>
      </c>
      <c r="E116" s="20">
        <v>0.0</v>
      </c>
      <c r="F116" s="23"/>
      <c r="G116" s="24"/>
      <c r="H116" s="23"/>
      <c r="I116" s="24"/>
      <c r="J116" s="24"/>
      <c r="K116" s="24"/>
      <c r="L116" s="22">
        <v>100.0</v>
      </c>
      <c r="M116" s="2"/>
      <c r="N116" s="24"/>
      <c r="O116" s="24"/>
      <c r="P116" s="24"/>
      <c r="Q116" s="20">
        <v>100.0</v>
      </c>
      <c r="R116" s="20">
        <v>100.0</v>
      </c>
      <c r="S116" s="22">
        <v>100.0</v>
      </c>
      <c r="T116" s="24"/>
      <c r="U116" s="22">
        <v>100.0</v>
      </c>
      <c r="V116" s="24"/>
      <c r="W116" s="16"/>
      <c r="X116" s="16"/>
      <c r="Y116" s="17"/>
      <c r="Z116" s="17"/>
      <c r="AA116" s="18"/>
      <c r="AC116" s="27"/>
      <c r="AD116" s="27"/>
      <c r="AE116" s="22"/>
      <c r="AF116" s="22"/>
      <c r="AG116" s="22"/>
      <c r="AH116" s="2"/>
      <c r="AI116" s="2"/>
      <c r="AJ116" s="2"/>
      <c r="AK116" s="2"/>
      <c r="AL116" s="2"/>
      <c r="AM116" s="2"/>
      <c r="AN116" s="22"/>
      <c r="AO116" s="2"/>
      <c r="AP116" s="2"/>
      <c r="AQ116" s="2"/>
      <c r="AR116" s="2"/>
      <c r="AS116" s="22"/>
      <c r="AT116" s="22"/>
      <c r="AU116" s="22"/>
      <c r="AV116" s="2"/>
      <c r="AW116" s="22"/>
      <c r="AX116" s="2"/>
      <c r="AY116" s="3"/>
      <c r="AZ116" s="3"/>
      <c r="BA116" s="32"/>
      <c r="BB116" s="32"/>
      <c r="BC116" s="24"/>
      <c r="BD116" s="24"/>
    </row>
    <row r="117" ht="15.75" customHeight="1">
      <c r="B117" s="25" t="s">
        <v>36</v>
      </c>
      <c r="C117" s="20">
        <v>0.0</v>
      </c>
      <c r="D117" s="20">
        <v>0.0</v>
      </c>
      <c r="E117" s="20">
        <v>0.0</v>
      </c>
      <c r="F117" s="23"/>
      <c r="G117" s="24"/>
      <c r="H117" s="23"/>
      <c r="I117" s="24"/>
      <c r="J117" s="24"/>
      <c r="K117" s="24"/>
      <c r="L117" s="22">
        <v>100.0</v>
      </c>
      <c r="M117" s="2"/>
      <c r="N117" s="24"/>
      <c r="O117" s="24"/>
      <c r="P117" s="24"/>
      <c r="Q117" s="20">
        <v>100.0</v>
      </c>
      <c r="R117" s="20">
        <v>100.0</v>
      </c>
      <c r="S117" s="22">
        <v>100.0</v>
      </c>
      <c r="T117" s="24"/>
      <c r="U117" s="22">
        <v>100.0</v>
      </c>
      <c r="V117" s="24"/>
      <c r="W117" s="16"/>
      <c r="X117" s="16"/>
      <c r="Y117" s="18"/>
      <c r="Z117" s="18"/>
      <c r="AA117" s="18"/>
      <c r="AC117" s="27"/>
      <c r="AD117" s="27"/>
      <c r="AE117" s="22"/>
      <c r="AF117" s="22"/>
      <c r="AG117" s="22"/>
      <c r="AH117" s="2"/>
      <c r="AI117" s="2"/>
      <c r="AJ117" s="2"/>
      <c r="AK117" s="2"/>
      <c r="AL117" s="2"/>
      <c r="AM117" s="2"/>
      <c r="AN117" s="22"/>
      <c r="AO117" s="2"/>
      <c r="AP117" s="2"/>
      <c r="AQ117" s="2"/>
      <c r="AR117" s="2"/>
      <c r="AS117" s="22"/>
      <c r="AT117" s="22"/>
      <c r="AU117" s="22"/>
      <c r="AV117" s="2"/>
      <c r="AW117" s="22"/>
      <c r="AX117" s="2"/>
      <c r="AY117" s="3"/>
      <c r="AZ117" s="3"/>
      <c r="BC117" s="24"/>
      <c r="BD117" s="24"/>
    </row>
    <row r="118" ht="15.75" customHeight="1">
      <c r="B118" s="25" t="s">
        <v>37</v>
      </c>
      <c r="C118" s="20">
        <v>0.0</v>
      </c>
      <c r="D118" s="20">
        <v>100.0</v>
      </c>
      <c r="E118" s="20">
        <v>100.0</v>
      </c>
      <c r="F118" s="23"/>
      <c r="G118" s="24"/>
      <c r="H118" s="23"/>
      <c r="I118" s="24"/>
      <c r="J118" s="24"/>
      <c r="K118" s="24"/>
      <c r="L118" s="22">
        <v>100.0</v>
      </c>
      <c r="M118" s="2"/>
      <c r="N118" s="24"/>
      <c r="O118" s="24"/>
      <c r="P118" s="24"/>
      <c r="Q118" s="20">
        <v>100.0</v>
      </c>
      <c r="R118" s="20">
        <v>100.0</v>
      </c>
      <c r="S118" s="22">
        <v>100.0</v>
      </c>
      <c r="T118" s="24"/>
      <c r="U118" s="22">
        <v>100.0</v>
      </c>
      <c r="V118" s="24"/>
      <c r="W118" s="16"/>
      <c r="X118" s="16"/>
      <c r="Y118" s="18"/>
      <c r="Z118" s="18"/>
      <c r="AA118" s="18"/>
      <c r="AC118" s="27"/>
      <c r="AD118" s="27"/>
      <c r="AE118" s="22"/>
      <c r="AF118" s="22"/>
      <c r="AG118" s="22"/>
      <c r="AH118" s="2"/>
      <c r="AI118" s="2"/>
      <c r="AJ118" s="2"/>
      <c r="AK118" s="2"/>
      <c r="AL118" s="2"/>
      <c r="AM118" s="2"/>
      <c r="AN118" s="22"/>
      <c r="AO118" s="2"/>
      <c r="AP118" s="2"/>
      <c r="AQ118" s="2"/>
      <c r="AR118" s="2"/>
      <c r="AS118" s="22"/>
      <c r="AT118" s="22"/>
      <c r="AU118" s="22"/>
      <c r="AV118" s="2"/>
      <c r="AW118" s="22"/>
      <c r="AX118" s="2"/>
      <c r="AY118" s="3"/>
      <c r="AZ118" s="3"/>
      <c r="BC118" s="24"/>
      <c r="BD118" s="24"/>
    </row>
    <row r="119" ht="15.75" customHeight="1">
      <c r="B119" s="25" t="s">
        <v>38</v>
      </c>
      <c r="C119" s="20">
        <v>0.0</v>
      </c>
      <c r="D119" s="20">
        <v>100.0</v>
      </c>
      <c r="E119" s="20">
        <v>100.0</v>
      </c>
      <c r="F119" s="23"/>
      <c r="G119" s="24"/>
      <c r="H119" s="23"/>
      <c r="I119" s="24"/>
      <c r="J119" s="24"/>
      <c r="K119" s="24"/>
      <c r="L119" s="22">
        <v>100.0</v>
      </c>
      <c r="M119" s="2"/>
      <c r="N119" s="24"/>
      <c r="O119" s="24"/>
      <c r="P119" s="24"/>
      <c r="Q119" s="20">
        <v>100.0</v>
      </c>
      <c r="R119" s="20">
        <v>100.0</v>
      </c>
      <c r="S119" s="22">
        <v>100.0</v>
      </c>
      <c r="T119" s="24"/>
      <c r="U119" s="22">
        <v>100.0</v>
      </c>
      <c r="V119" s="24"/>
      <c r="W119" s="16"/>
      <c r="X119" s="16"/>
      <c r="Y119" s="18"/>
      <c r="Z119" s="18"/>
      <c r="AA119" s="18"/>
      <c r="AC119" s="27"/>
      <c r="AD119" s="27"/>
      <c r="AE119" s="22"/>
      <c r="AF119" s="22"/>
      <c r="AG119" s="22"/>
      <c r="AH119" s="2"/>
      <c r="AI119" s="2"/>
      <c r="AJ119" s="2"/>
      <c r="AK119" s="2"/>
      <c r="AL119" s="2"/>
      <c r="AM119" s="2"/>
      <c r="AN119" s="22"/>
      <c r="AO119" s="2"/>
      <c r="AP119" s="2"/>
      <c r="AQ119" s="2"/>
      <c r="AR119" s="2"/>
      <c r="AS119" s="22"/>
      <c r="AT119" s="22"/>
      <c r="AU119" s="22"/>
      <c r="AV119" s="2"/>
      <c r="AW119" s="22"/>
      <c r="AX119" s="2"/>
      <c r="AY119" s="3"/>
      <c r="AZ119" s="3"/>
      <c r="BC119" s="24"/>
      <c r="BD119" s="24"/>
    </row>
    <row r="120" ht="15.75" customHeight="1">
      <c r="B120" s="25" t="s">
        <v>42</v>
      </c>
      <c r="C120" s="20">
        <f t="shared" ref="C120:E120" si="53">AVERAGE(C115:C119)</f>
        <v>0</v>
      </c>
      <c r="D120" s="20">
        <f t="shared" si="53"/>
        <v>80</v>
      </c>
      <c r="E120" s="20">
        <f t="shared" si="53"/>
        <v>60</v>
      </c>
      <c r="F120" s="34" t="s">
        <v>43</v>
      </c>
      <c r="G120" s="24" t="s">
        <v>44</v>
      </c>
      <c r="H120" s="34" t="s">
        <v>43</v>
      </c>
      <c r="I120" s="24" t="s">
        <v>44</v>
      </c>
      <c r="J120" s="24" t="s">
        <v>44</v>
      </c>
      <c r="K120" s="24" t="s">
        <v>44</v>
      </c>
      <c r="L120" s="22">
        <f>AVERAGE(L115:L119)</f>
        <v>100</v>
      </c>
      <c r="M120" s="2"/>
      <c r="N120" s="24" t="s">
        <v>44</v>
      </c>
      <c r="O120" s="24" t="s">
        <v>44</v>
      </c>
      <c r="P120" s="24" t="s">
        <v>44</v>
      </c>
      <c r="Q120" s="20">
        <f t="shared" ref="Q120:S120" si="54">AVERAGE(Q115:Q119)</f>
        <v>100</v>
      </c>
      <c r="R120" s="20">
        <f t="shared" si="54"/>
        <v>100</v>
      </c>
      <c r="S120" s="22">
        <f t="shared" si="54"/>
        <v>100</v>
      </c>
      <c r="T120" s="24" t="s">
        <v>44</v>
      </c>
      <c r="U120" s="22">
        <f>AVERAGE(U115:U119)</f>
        <v>100</v>
      </c>
      <c r="V120" s="24" t="s">
        <v>44</v>
      </c>
      <c r="W120" s="16">
        <f>AVERAGE(C120:E120,L120,Q120:S120,U120)</f>
        <v>80</v>
      </c>
      <c r="X120" s="16">
        <f>STDEV(C120:E120,L120,Q120:S120,U120)</f>
        <v>35.45621042</v>
      </c>
      <c r="Y120" s="17"/>
      <c r="Z120" s="17">
        <f>(5/8) * 100</f>
        <v>62.5</v>
      </c>
      <c r="AA120" s="18"/>
      <c r="AC120" s="27">
        <f>(5/8) * 100</f>
        <v>62.5</v>
      </c>
      <c r="AD120" s="27"/>
      <c r="AE120" s="22"/>
      <c r="AF120" s="22"/>
      <c r="AG120" s="28">
        <f>2/8*100</f>
        <v>25</v>
      </c>
      <c r="AJ120" s="5"/>
      <c r="AK120" s="2"/>
      <c r="AL120" s="2"/>
      <c r="AM120" s="2"/>
      <c r="AN120" s="22"/>
      <c r="AO120" s="2"/>
      <c r="AP120" s="2"/>
      <c r="AQ120" s="2"/>
      <c r="AR120" s="2"/>
      <c r="AS120" s="22"/>
      <c r="AT120" s="22"/>
      <c r="AU120" s="22"/>
      <c r="AV120" s="2"/>
      <c r="AW120" s="22"/>
      <c r="AX120" s="2"/>
      <c r="AY120" s="20">
        <f>AVERAGE(AE120:AG120,AN120,AS120:AU120,AW120)</f>
        <v>25</v>
      </c>
      <c r="AZ120" s="20" t="str">
        <f>STDEV(AE120:AG120,AN120,AS120:AU120,AW120)</f>
        <v>#DIV/0!</v>
      </c>
      <c r="BA120" s="17">
        <f>(5/8) * 100</f>
        <v>62.5</v>
      </c>
      <c r="BC120" s="24"/>
      <c r="BD120" s="24"/>
    </row>
    <row r="121" ht="15.75" customHeight="1">
      <c r="W121" s="18"/>
      <c r="X121" s="18"/>
      <c r="Y121" s="17"/>
      <c r="Z121" s="17"/>
      <c r="AA121" s="18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BA121" s="17" t="s">
        <v>58</v>
      </c>
    </row>
    <row r="122" ht="15.75" customHeight="1">
      <c r="A122" s="31" t="s">
        <v>46</v>
      </c>
      <c r="B122" s="19" t="s">
        <v>34</v>
      </c>
      <c r="C122" s="20">
        <f t="shared" ref="C122:V122" si="55">(C133/C139)*100</f>
        <v>0.4874784936</v>
      </c>
      <c r="D122" s="20">
        <f t="shared" si="55"/>
        <v>3.451559153</v>
      </c>
      <c r="E122" s="20">
        <f t="shared" si="55"/>
        <v>2.718223583</v>
      </c>
      <c r="F122" s="20">
        <f t="shared" si="55"/>
        <v>5.773078022</v>
      </c>
      <c r="G122" s="20">
        <f t="shared" si="55"/>
        <v>0.646813098</v>
      </c>
      <c r="H122" s="20">
        <f t="shared" si="55"/>
        <v>6.04538177</v>
      </c>
      <c r="I122" s="20">
        <f t="shared" si="55"/>
        <v>3.322054752</v>
      </c>
      <c r="J122" s="20">
        <f t="shared" si="55"/>
        <v>0.9126037984</v>
      </c>
      <c r="K122" s="20">
        <f t="shared" si="55"/>
        <v>0.6673079235</v>
      </c>
      <c r="L122" s="20">
        <f t="shared" si="55"/>
        <v>0.728264246</v>
      </c>
      <c r="M122" s="20">
        <f t="shared" si="55"/>
        <v>1.0139213</v>
      </c>
      <c r="N122" s="20">
        <f t="shared" si="55"/>
        <v>0.3945681123</v>
      </c>
      <c r="O122" s="20">
        <f t="shared" si="55"/>
        <v>5.856057219</v>
      </c>
      <c r="P122" s="20">
        <f t="shared" si="55"/>
        <v>1.395973154</v>
      </c>
      <c r="Q122" s="20">
        <f t="shared" si="55"/>
        <v>6.142506143</v>
      </c>
      <c r="R122" s="20">
        <f t="shared" si="55"/>
        <v>1.979264844</v>
      </c>
      <c r="S122" s="20">
        <f t="shared" si="55"/>
        <v>4.830805134</v>
      </c>
      <c r="T122" s="20">
        <f t="shared" si="55"/>
        <v>0.5724953329</v>
      </c>
      <c r="U122" s="20">
        <f t="shared" si="55"/>
        <v>2.279364049</v>
      </c>
      <c r="V122" s="20">
        <f t="shared" si="55"/>
        <v>0.4756122242</v>
      </c>
      <c r="W122" s="18"/>
      <c r="X122" s="18"/>
      <c r="Y122" s="18"/>
      <c r="Z122" s="18"/>
      <c r="AA122" s="18"/>
      <c r="AC122" s="29"/>
      <c r="AD122" s="21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BC122" s="20"/>
      <c r="BD122" s="20"/>
    </row>
    <row r="123" ht="15.75" customHeight="1">
      <c r="B123" s="19" t="s">
        <v>35</v>
      </c>
      <c r="C123" s="20">
        <f t="shared" ref="C123:V123" si="56">(C134/C139)*100</f>
        <v>0.4396864844</v>
      </c>
      <c r="D123" s="20">
        <f t="shared" si="56"/>
        <v>1.07117353</v>
      </c>
      <c r="E123" s="20">
        <f t="shared" si="56"/>
        <v>3.081929556</v>
      </c>
      <c r="F123" s="20">
        <f t="shared" si="56"/>
        <v>5.201486139</v>
      </c>
      <c r="G123" s="20">
        <f t="shared" si="56"/>
        <v>0.8354669182</v>
      </c>
      <c r="H123" s="20">
        <f t="shared" si="56"/>
        <v>5.990172804</v>
      </c>
      <c r="I123" s="20">
        <f t="shared" si="56"/>
        <v>1.968625038</v>
      </c>
      <c r="J123" s="20">
        <f t="shared" si="56"/>
        <v>0.4932993505</v>
      </c>
      <c r="K123" s="20">
        <f t="shared" si="56"/>
        <v>1.51496934</v>
      </c>
      <c r="L123" s="20">
        <f t="shared" si="56"/>
        <v>0.9491595624</v>
      </c>
      <c r="M123" s="20">
        <f t="shared" si="56"/>
        <v>0.4989136557</v>
      </c>
      <c r="N123" s="20">
        <f t="shared" si="56"/>
        <v>0.6082925065</v>
      </c>
      <c r="O123" s="20">
        <f t="shared" si="56"/>
        <v>3.254358516</v>
      </c>
      <c r="P123" s="20">
        <f t="shared" si="56"/>
        <v>1.020134228</v>
      </c>
      <c r="Q123" s="20">
        <f t="shared" si="56"/>
        <v>10.88641089</v>
      </c>
      <c r="R123" s="20">
        <f t="shared" si="56"/>
        <v>3.879987433</v>
      </c>
      <c r="S123" s="20">
        <f t="shared" si="56"/>
        <v>1.86697783</v>
      </c>
      <c r="T123" s="20">
        <f t="shared" si="56"/>
        <v>6.795270691</v>
      </c>
      <c r="U123" s="20">
        <f t="shared" si="56"/>
        <v>2.392926671</v>
      </c>
      <c r="V123" s="20">
        <f t="shared" si="56"/>
        <v>0.6577615867</v>
      </c>
      <c r="W123" s="18"/>
      <c r="X123" s="18"/>
      <c r="Y123" s="17"/>
      <c r="Z123" s="17"/>
      <c r="AA123" s="18"/>
      <c r="AD123" s="21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BA123" s="32"/>
      <c r="BC123" s="20"/>
      <c r="BD123" s="20"/>
    </row>
    <row r="124" ht="15.75" customHeight="1">
      <c r="B124" s="19" t="s">
        <v>36</v>
      </c>
      <c r="C124" s="20">
        <f t="shared" ref="C124:V124" si="57">(C135/C139)*100</f>
        <v>1.022748996</v>
      </c>
      <c r="D124" s="20">
        <f t="shared" si="57"/>
        <v>1.594858367</v>
      </c>
      <c r="E124" s="20">
        <f t="shared" si="57"/>
        <v>0.9379785605</v>
      </c>
      <c r="F124" s="20">
        <f t="shared" si="57"/>
        <v>5.458702486</v>
      </c>
      <c r="G124" s="20">
        <f t="shared" si="57"/>
        <v>0.3773076405</v>
      </c>
      <c r="H124" s="20">
        <f t="shared" si="57"/>
        <v>4.477447137</v>
      </c>
      <c r="I124" s="20">
        <f t="shared" si="57"/>
        <v>3.568132882</v>
      </c>
      <c r="J124" s="20">
        <f t="shared" si="57"/>
        <v>0.6166241881</v>
      </c>
      <c r="K124" s="20">
        <f t="shared" si="57"/>
        <v>0.7815318023</v>
      </c>
      <c r="L124" s="20">
        <f t="shared" si="57"/>
        <v>1.860352742</v>
      </c>
      <c r="M124" s="20">
        <f t="shared" si="57"/>
        <v>1.496740967</v>
      </c>
      <c r="N124" s="20">
        <f t="shared" si="57"/>
        <v>1.380988393</v>
      </c>
      <c r="O124" s="20">
        <f t="shared" si="57"/>
        <v>4.067948145</v>
      </c>
      <c r="P124" s="20">
        <f t="shared" si="57"/>
        <v>0.9395973154</v>
      </c>
      <c r="Q124" s="20">
        <f t="shared" si="57"/>
        <v>5.745605746</v>
      </c>
      <c r="R124" s="20">
        <f t="shared" si="57"/>
        <v>2.921771913</v>
      </c>
      <c r="S124" s="20">
        <f t="shared" si="57"/>
        <v>0.3033838973</v>
      </c>
      <c r="T124" s="20">
        <f t="shared" si="57"/>
        <v>0.6347230865</v>
      </c>
      <c r="U124" s="20">
        <f t="shared" si="57"/>
        <v>2.319922128</v>
      </c>
      <c r="V124" s="20">
        <f t="shared" si="57"/>
        <v>1.032179721</v>
      </c>
      <c r="W124" s="18"/>
      <c r="X124" s="18"/>
      <c r="Y124" s="18"/>
      <c r="Z124" s="18"/>
      <c r="AA124" s="18"/>
      <c r="AD124" s="21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BC124" s="20"/>
      <c r="BD124" s="20"/>
    </row>
    <row r="125" ht="15.75" customHeight="1">
      <c r="B125" s="19" t="s">
        <v>37</v>
      </c>
      <c r="C125" s="20">
        <f t="shared" ref="C125:V125" si="58">(C136/C139)*100</f>
        <v>2.112406806</v>
      </c>
      <c r="D125" s="20">
        <f t="shared" si="58"/>
        <v>2.261366341</v>
      </c>
      <c r="E125" s="20">
        <f t="shared" si="58"/>
        <v>1.512251149</v>
      </c>
      <c r="F125" s="20">
        <f t="shared" si="58"/>
        <v>7.344955702</v>
      </c>
      <c r="G125" s="20">
        <f t="shared" si="58"/>
        <v>1.428378925</v>
      </c>
      <c r="H125" s="20">
        <f t="shared" si="58"/>
        <v>3.583061889</v>
      </c>
      <c r="I125" s="20">
        <f t="shared" si="58"/>
        <v>7.382343894</v>
      </c>
      <c r="J125" s="20">
        <f t="shared" si="58"/>
        <v>2.68848146</v>
      </c>
      <c r="K125" s="20">
        <f t="shared" si="58"/>
        <v>1.058073825</v>
      </c>
      <c r="L125" s="20">
        <f t="shared" si="58"/>
        <v>0.1449625513</v>
      </c>
      <c r="M125" s="20">
        <f t="shared" si="58"/>
        <v>1.070250262</v>
      </c>
      <c r="N125" s="20">
        <f t="shared" si="58"/>
        <v>0.7661197514</v>
      </c>
      <c r="O125" s="20">
        <f t="shared" si="58"/>
        <v>8.430934287</v>
      </c>
      <c r="P125" s="20">
        <f t="shared" si="58"/>
        <v>1.825503356</v>
      </c>
      <c r="Q125" s="20">
        <f t="shared" si="58"/>
        <v>10.33831034</v>
      </c>
      <c r="R125" s="20">
        <f t="shared" si="58"/>
        <v>2.073515551</v>
      </c>
      <c r="S125" s="20">
        <f t="shared" si="58"/>
        <v>2.730455076</v>
      </c>
      <c r="T125" s="20">
        <f t="shared" si="58"/>
        <v>1.008089608</v>
      </c>
      <c r="U125" s="20">
        <f t="shared" si="58"/>
        <v>2.814730694</v>
      </c>
      <c r="V125" s="20">
        <f t="shared" si="58"/>
        <v>1.113134993</v>
      </c>
      <c r="W125" s="18"/>
      <c r="X125" s="18"/>
      <c r="Y125" s="18"/>
      <c r="Z125" s="18"/>
      <c r="AA125" s="18"/>
      <c r="AD125" s="21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BC125" s="20"/>
      <c r="BD125" s="20"/>
    </row>
    <row r="126" ht="15.75" customHeight="1">
      <c r="B126" s="19" t="s">
        <v>38</v>
      </c>
      <c r="C126" s="20">
        <f t="shared" ref="C126:V126" si="59">(C137/C139)*100</f>
        <v>1.443318677</v>
      </c>
      <c r="D126" s="20">
        <f t="shared" si="59"/>
        <v>3.451559153</v>
      </c>
      <c r="E126" s="20">
        <f t="shared" si="59"/>
        <v>2.163093415</v>
      </c>
      <c r="F126" s="20">
        <f t="shared" si="59"/>
        <v>5.601600457</v>
      </c>
      <c r="G126" s="20">
        <f t="shared" si="59"/>
        <v>0.3368818219</v>
      </c>
      <c r="H126" s="20">
        <f t="shared" si="59"/>
        <v>0.7342792469</v>
      </c>
      <c r="I126" s="20">
        <f t="shared" si="59"/>
        <v>3.322054752</v>
      </c>
      <c r="J126" s="20">
        <f t="shared" si="59"/>
        <v>2.450053441</v>
      </c>
      <c r="K126" s="20">
        <f t="shared" si="59"/>
        <v>1.394733678</v>
      </c>
      <c r="L126" s="20">
        <f t="shared" si="59"/>
        <v>0.4901114831</v>
      </c>
      <c r="M126" s="20" t="str">
        <f t="shared" si="59"/>
        <v>#VALUE!</v>
      </c>
      <c r="N126" s="20">
        <f t="shared" si="59"/>
        <v>0.7661197514</v>
      </c>
      <c r="O126" s="20" t="str">
        <f t="shared" si="59"/>
        <v>#VALUE!</v>
      </c>
      <c r="P126" s="20">
        <f t="shared" si="59"/>
        <v>0.9932885906</v>
      </c>
      <c r="Q126" s="20">
        <f t="shared" si="59"/>
        <v>10.41391041</v>
      </c>
      <c r="R126" s="20">
        <f t="shared" si="59"/>
        <v>1.91643104</v>
      </c>
      <c r="S126" s="20">
        <f t="shared" si="59"/>
        <v>3.663943991</v>
      </c>
      <c r="T126" s="20">
        <f t="shared" si="59"/>
        <v>0.6720597386</v>
      </c>
      <c r="U126" s="20">
        <f t="shared" si="59"/>
        <v>2.100908501</v>
      </c>
      <c r="V126" s="20">
        <f t="shared" si="59"/>
        <v>0.5262092694</v>
      </c>
      <c r="W126" s="18"/>
      <c r="X126" s="18"/>
      <c r="Y126" s="18"/>
      <c r="Z126" s="18"/>
      <c r="AA126" s="18"/>
      <c r="AD126" s="21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BC126" s="20"/>
      <c r="BD126" s="20"/>
    </row>
    <row r="127" ht="15.75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18"/>
      <c r="X127" s="18"/>
      <c r="Y127" s="18"/>
      <c r="Z127" s="18"/>
      <c r="AA127" s="18"/>
      <c r="AD127" s="30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BC127" s="3"/>
      <c r="BD127" s="3"/>
    </row>
    <row r="128" ht="15.75" customHeight="1">
      <c r="B128" s="32" t="s">
        <v>47</v>
      </c>
      <c r="C128" s="3">
        <f t="shared" ref="C128:L128" si="60">MAX(C122:C126)</f>
        <v>2.112406806</v>
      </c>
      <c r="D128" s="3">
        <f t="shared" si="60"/>
        <v>3.451559153</v>
      </c>
      <c r="E128" s="3">
        <f t="shared" si="60"/>
        <v>3.081929556</v>
      </c>
      <c r="F128" s="3">
        <f t="shared" si="60"/>
        <v>7.344955702</v>
      </c>
      <c r="G128" s="3">
        <f t="shared" si="60"/>
        <v>1.428378925</v>
      </c>
      <c r="H128" s="3">
        <f t="shared" si="60"/>
        <v>6.04538177</v>
      </c>
      <c r="I128" s="3">
        <f t="shared" si="60"/>
        <v>7.382343894</v>
      </c>
      <c r="J128" s="3">
        <f t="shared" si="60"/>
        <v>2.68848146</v>
      </c>
      <c r="K128" s="3">
        <f t="shared" si="60"/>
        <v>1.51496934</v>
      </c>
      <c r="L128" s="3">
        <f t="shared" si="60"/>
        <v>1.860352742</v>
      </c>
      <c r="M128" s="3">
        <f t="shared" ref="M128:O128" si="61">MAX(M122:M125)</f>
        <v>1.496740967</v>
      </c>
      <c r="N128" s="3">
        <f t="shared" si="61"/>
        <v>1.380988393</v>
      </c>
      <c r="O128" s="3">
        <f t="shared" si="61"/>
        <v>8.430934287</v>
      </c>
      <c r="P128" s="3">
        <f t="shared" ref="P128:V128" si="62">MAX(P122:P126)</f>
        <v>1.825503356</v>
      </c>
      <c r="Q128" s="3">
        <f t="shared" si="62"/>
        <v>10.88641089</v>
      </c>
      <c r="R128" s="3">
        <f t="shared" si="62"/>
        <v>3.879987433</v>
      </c>
      <c r="S128" s="3">
        <f t="shared" si="62"/>
        <v>4.830805134</v>
      </c>
      <c r="T128" s="3">
        <f t="shared" si="62"/>
        <v>6.795270691</v>
      </c>
      <c r="U128" s="3">
        <f t="shared" si="62"/>
        <v>2.814730694</v>
      </c>
      <c r="V128" s="3">
        <f t="shared" si="62"/>
        <v>1.113134993</v>
      </c>
      <c r="W128" s="18"/>
      <c r="X128" s="18"/>
      <c r="Y128" s="18"/>
      <c r="Z128" s="18"/>
      <c r="AA128" s="18"/>
      <c r="AD128" s="30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BC128" s="3"/>
      <c r="BD128" s="3"/>
    </row>
    <row r="129" ht="15.75" customHeight="1">
      <c r="B129" s="32" t="s">
        <v>48</v>
      </c>
      <c r="C129" s="32">
        <f t="shared" ref="C129:L129" si="63">min(C122:C126)</f>
        <v>0.4396864844</v>
      </c>
      <c r="D129" s="32">
        <f t="shared" si="63"/>
        <v>1.07117353</v>
      </c>
      <c r="E129" s="32">
        <f t="shared" si="63"/>
        <v>0.9379785605</v>
      </c>
      <c r="F129" s="32">
        <f t="shared" si="63"/>
        <v>5.201486139</v>
      </c>
      <c r="G129" s="32">
        <f t="shared" si="63"/>
        <v>0.3368818219</v>
      </c>
      <c r="H129" s="32">
        <f t="shared" si="63"/>
        <v>0.7342792469</v>
      </c>
      <c r="I129" s="32">
        <f t="shared" si="63"/>
        <v>1.968625038</v>
      </c>
      <c r="J129" s="32">
        <f t="shared" si="63"/>
        <v>0.4932993505</v>
      </c>
      <c r="K129" s="32">
        <f t="shared" si="63"/>
        <v>0.6673079235</v>
      </c>
      <c r="L129" s="32">
        <f t="shared" si="63"/>
        <v>0.1449625513</v>
      </c>
      <c r="M129" s="32">
        <f t="shared" ref="M129:O129" si="64">min(M122:M125)</f>
        <v>0.4989136557</v>
      </c>
      <c r="N129" s="32">
        <f t="shared" si="64"/>
        <v>0.3945681123</v>
      </c>
      <c r="O129" s="32">
        <f t="shared" si="64"/>
        <v>3.254358516</v>
      </c>
      <c r="P129" s="32">
        <f t="shared" ref="P129:V129" si="65">min(P122:P126)</f>
        <v>0.9395973154</v>
      </c>
      <c r="Q129" s="32">
        <f t="shared" si="65"/>
        <v>5.745605746</v>
      </c>
      <c r="R129" s="32">
        <f t="shared" si="65"/>
        <v>1.91643104</v>
      </c>
      <c r="S129" s="32">
        <f t="shared" si="65"/>
        <v>0.3033838973</v>
      </c>
      <c r="T129" s="32">
        <f t="shared" si="65"/>
        <v>0.5724953329</v>
      </c>
      <c r="U129" s="32">
        <f t="shared" si="65"/>
        <v>2.100908501</v>
      </c>
      <c r="V129" s="32">
        <f t="shared" si="65"/>
        <v>0.4756122242</v>
      </c>
      <c r="W129" s="18"/>
      <c r="X129" s="18"/>
      <c r="Y129" s="18"/>
      <c r="Z129" s="18"/>
      <c r="AA129" s="18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</row>
    <row r="130" ht="15.75" customHeight="1">
      <c r="B130" s="32" t="s">
        <v>49</v>
      </c>
      <c r="C130" s="3">
        <f t="shared" ref="C130:L130" si="66">AVERAGE(C122:C126)</f>
        <v>1.101127891</v>
      </c>
      <c r="D130" s="3">
        <f t="shared" si="66"/>
        <v>2.366103309</v>
      </c>
      <c r="E130" s="3">
        <f t="shared" si="66"/>
        <v>2.082695253</v>
      </c>
      <c r="F130" s="3">
        <f t="shared" si="66"/>
        <v>5.875964561</v>
      </c>
      <c r="G130" s="3">
        <f t="shared" si="66"/>
        <v>0.7249696806</v>
      </c>
      <c r="H130" s="3">
        <f t="shared" si="66"/>
        <v>4.16606857</v>
      </c>
      <c r="I130" s="3">
        <f t="shared" si="66"/>
        <v>3.912642264</v>
      </c>
      <c r="J130" s="3">
        <f t="shared" si="66"/>
        <v>1.432212448</v>
      </c>
      <c r="K130" s="3">
        <f t="shared" si="66"/>
        <v>1.083323314</v>
      </c>
      <c r="L130" s="3">
        <f t="shared" si="66"/>
        <v>0.834570117</v>
      </c>
      <c r="M130" s="3">
        <f t="shared" ref="M130:O130" si="67">AVERAGE(M122:M125)</f>
        <v>1.019956546</v>
      </c>
      <c r="N130" s="3">
        <f t="shared" si="67"/>
        <v>0.7874921908</v>
      </c>
      <c r="O130" s="3">
        <f t="shared" si="67"/>
        <v>5.402324542</v>
      </c>
      <c r="P130" s="3">
        <f t="shared" ref="P130:V130" si="68">AVERAGE(P122:P126)</f>
        <v>1.234899329</v>
      </c>
      <c r="Q130" s="3">
        <f t="shared" si="68"/>
        <v>8.705348705</v>
      </c>
      <c r="R130" s="3">
        <f t="shared" si="68"/>
        <v>2.554194156</v>
      </c>
      <c r="S130" s="3">
        <f t="shared" si="68"/>
        <v>2.679113186</v>
      </c>
      <c r="T130" s="3">
        <f t="shared" si="68"/>
        <v>1.936527691</v>
      </c>
      <c r="U130" s="3">
        <f t="shared" si="68"/>
        <v>2.381570409</v>
      </c>
      <c r="V130" s="3">
        <f t="shared" si="68"/>
        <v>0.7609795588</v>
      </c>
      <c r="W130" s="17">
        <f t="shared" ref="W130:W131" si="72">AVERAGE(C130:V130)</f>
        <v>2.552104186</v>
      </c>
      <c r="X130" s="17">
        <f t="shared" ref="X130:X131" si="73">STDEV(C130:V130)</f>
        <v>2.107366759</v>
      </c>
      <c r="Y130" s="17"/>
      <c r="Z130" s="17"/>
      <c r="AA130" s="18">
        <f>100-W130</f>
        <v>97.44789581</v>
      </c>
      <c r="AD130" s="30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32" t="str">
        <f t="shared" ref="AY130:AY131" si="74">AVERAGE(AE130:AX130)</f>
        <v>#DIV/0!</v>
      </c>
      <c r="AZ130" s="32" t="str">
        <f t="shared" ref="AZ130:AZ131" si="75">STDEV(AE130:AX130)</f>
        <v>#DIV/0!</v>
      </c>
      <c r="BA130" s="17" t="str">
        <f>100-AY130</f>
        <v>#DIV/0!</v>
      </c>
      <c r="BC130" s="3"/>
      <c r="BD130" s="3"/>
    </row>
    <row r="131" ht="15.75" customHeight="1">
      <c r="B131" s="32" t="s">
        <v>50</v>
      </c>
      <c r="C131" s="3">
        <f t="shared" ref="C131:L131" si="69">STDEV(C122:C126)</f>
        <v>0.699998776</v>
      </c>
      <c r="D131" s="3">
        <f t="shared" si="69"/>
        <v>1.076923918</v>
      </c>
      <c r="E131" s="3">
        <f t="shared" si="69"/>
        <v>0.8724408429</v>
      </c>
      <c r="F131" s="3">
        <f t="shared" si="69"/>
        <v>0.8474705088</v>
      </c>
      <c r="G131" s="3">
        <f t="shared" si="69"/>
        <v>0.4428836574</v>
      </c>
      <c r="H131" s="3">
        <f t="shared" si="69"/>
        <v>2.183644071</v>
      </c>
      <c r="I131" s="3">
        <f t="shared" si="69"/>
        <v>2.03925883</v>
      </c>
      <c r="J131" s="3">
        <f t="shared" si="69"/>
        <v>1.05249077</v>
      </c>
      <c r="K131" s="3">
        <f t="shared" si="69"/>
        <v>0.3701618446</v>
      </c>
      <c r="L131" s="3">
        <f t="shared" si="69"/>
        <v>0.6463110742</v>
      </c>
      <c r="M131" s="3">
        <f t="shared" ref="M131:O131" si="70">STDEV(M122:M125)</f>
        <v>0.4088092301</v>
      </c>
      <c r="N131" s="3">
        <f t="shared" si="70"/>
        <v>0.4239482601</v>
      </c>
      <c r="O131" s="3">
        <f t="shared" si="70"/>
        <v>2.292936163</v>
      </c>
      <c r="P131" s="3">
        <f t="shared" ref="P131:V131" si="71">STDEV(P122:P126)</f>
        <v>0.3763180072</v>
      </c>
      <c r="Q131" s="3">
        <f t="shared" si="71"/>
        <v>2.53332881</v>
      </c>
      <c r="R131" s="3">
        <f t="shared" si="71"/>
        <v>0.8457509456</v>
      </c>
      <c r="S131" s="3">
        <f t="shared" si="71"/>
        <v>1.725250665</v>
      </c>
      <c r="T131" s="3">
        <f t="shared" si="71"/>
        <v>2.721375549</v>
      </c>
      <c r="U131" s="3">
        <f t="shared" si="71"/>
        <v>0.264940821</v>
      </c>
      <c r="V131" s="3">
        <f t="shared" si="71"/>
        <v>0.2935849672</v>
      </c>
      <c r="W131" s="17">
        <f t="shared" si="72"/>
        <v>1.105891386</v>
      </c>
      <c r="X131" s="17">
        <f t="shared" si="73"/>
        <v>0.8231053126</v>
      </c>
      <c r="Y131" s="18"/>
      <c r="Z131" s="18"/>
      <c r="AA131" s="18"/>
      <c r="AD131" s="30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32" t="str">
        <f t="shared" si="74"/>
        <v>#DIV/0!</v>
      </c>
      <c r="AZ131" s="32" t="str">
        <f t="shared" si="75"/>
        <v>#DIV/0!</v>
      </c>
      <c r="BC131" s="3"/>
      <c r="BD131" s="3"/>
    </row>
    <row r="132" ht="15.75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18"/>
      <c r="X132" s="18"/>
      <c r="Y132" s="18"/>
      <c r="Z132" s="18"/>
      <c r="AA132" s="18"/>
      <c r="AC132" s="30"/>
      <c r="AD132" s="30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BC132" s="3"/>
      <c r="BD132" s="3"/>
    </row>
    <row r="133" ht="15.75" customHeight="1">
      <c r="A133" s="31" t="s">
        <v>51</v>
      </c>
      <c r="B133" s="19" t="s">
        <v>34</v>
      </c>
      <c r="C133" s="20">
        <v>51.0</v>
      </c>
      <c r="D133" s="20">
        <v>145.0</v>
      </c>
      <c r="E133" s="20">
        <v>142.0</v>
      </c>
      <c r="F133" s="20">
        <v>202.0</v>
      </c>
      <c r="G133" s="20">
        <v>48.0</v>
      </c>
      <c r="H133" s="3">
        <v>1095.0</v>
      </c>
      <c r="I133" s="20">
        <v>108.0</v>
      </c>
      <c r="J133" s="20">
        <v>111.0</v>
      </c>
      <c r="K133" s="20">
        <v>111.0</v>
      </c>
      <c r="L133" s="3">
        <v>211.0</v>
      </c>
      <c r="M133" s="20">
        <v>126.0</v>
      </c>
      <c r="N133" s="3">
        <v>120.0</v>
      </c>
      <c r="O133" s="20">
        <v>655.0</v>
      </c>
      <c r="P133" s="20">
        <v>104.0</v>
      </c>
      <c r="Q133" s="20">
        <v>325.0</v>
      </c>
      <c r="R133" s="20">
        <v>126.0</v>
      </c>
      <c r="S133" s="20">
        <v>207.0</v>
      </c>
      <c r="T133" s="32">
        <v>46.0</v>
      </c>
      <c r="U133" s="20">
        <v>281.0</v>
      </c>
      <c r="V133" s="20">
        <v>47.0</v>
      </c>
      <c r="W133" s="18"/>
      <c r="X133" s="18"/>
      <c r="Y133" s="18"/>
      <c r="Z133" s="18"/>
      <c r="AA133" s="18"/>
      <c r="AC133" s="29"/>
      <c r="AD133" s="21"/>
      <c r="AE133" s="22"/>
      <c r="AF133" s="22"/>
      <c r="AG133" s="22"/>
      <c r="AH133" s="22"/>
      <c r="AI133" s="22"/>
      <c r="AJ133" s="2"/>
      <c r="AK133" s="22"/>
      <c r="AL133" s="22"/>
      <c r="AM133" s="22"/>
      <c r="AN133" s="2"/>
      <c r="AO133" s="22"/>
      <c r="AP133" s="2"/>
      <c r="AQ133" s="22"/>
      <c r="AR133" s="22"/>
      <c r="AS133" s="22"/>
      <c r="AT133" s="22"/>
      <c r="AU133" s="22"/>
      <c r="AV133" s="30"/>
      <c r="AW133" s="22"/>
      <c r="AX133" s="22"/>
      <c r="BC133" s="20"/>
      <c r="BD133" s="20"/>
    </row>
    <row r="134" ht="15.75" customHeight="1">
      <c r="B134" s="19" t="s">
        <v>35</v>
      </c>
      <c r="C134" s="20">
        <v>46.0</v>
      </c>
      <c r="D134" s="20">
        <v>45.0</v>
      </c>
      <c r="E134" s="20">
        <v>161.0</v>
      </c>
      <c r="F134" s="20">
        <v>182.0</v>
      </c>
      <c r="G134" s="20">
        <v>62.0</v>
      </c>
      <c r="H134" s="3">
        <v>1085.0</v>
      </c>
      <c r="I134" s="20">
        <v>64.0</v>
      </c>
      <c r="J134" s="20">
        <v>60.0</v>
      </c>
      <c r="K134" s="20">
        <v>252.0</v>
      </c>
      <c r="L134" s="3">
        <v>275.0</v>
      </c>
      <c r="M134" s="20">
        <v>62.0</v>
      </c>
      <c r="N134" s="3">
        <v>185.0</v>
      </c>
      <c r="O134" s="20">
        <v>364.0</v>
      </c>
      <c r="P134" s="20">
        <v>76.0</v>
      </c>
      <c r="Q134" s="20">
        <v>576.0</v>
      </c>
      <c r="R134" s="20">
        <v>247.0</v>
      </c>
      <c r="S134" s="20">
        <v>80.0</v>
      </c>
      <c r="T134" s="32">
        <v>546.0</v>
      </c>
      <c r="U134" s="20">
        <v>295.0</v>
      </c>
      <c r="V134" s="20">
        <v>65.0</v>
      </c>
      <c r="W134" s="18"/>
      <c r="X134" s="18"/>
      <c r="Y134" s="18"/>
      <c r="Z134" s="18"/>
      <c r="AA134" s="18"/>
      <c r="AD134" s="21"/>
      <c r="AE134" s="22"/>
      <c r="AF134" s="22"/>
      <c r="AG134" s="22"/>
      <c r="AH134" s="22"/>
      <c r="AI134" s="22"/>
      <c r="AJ134" s="2"/>
      <c r="AK134" s="22"/>
      <c r="AL134" s="22"/>
      <c r="AM134" s="22"/>
      <c r="AN134" s="2"/>
      <c r="AO134" s="22"/>
      <c r="AP134" s="2"/>
      <c r="AQ134" s="22"/>
      <c r="AR134" s="22"/>
      <c r="AS134" s="22"/>
      <c r="AT134" s="22"/>
      <c r="AU134" s="22"/>
      <c r="AV134" s="30"/>
      <c r="AW134" s="22"/>
      <c r="AX134" s="22"/>
      <c r="BC134" s="20"/>
      <c r="BD134" s="20"/>
    </row>
    <row r="135" ht="15.75" customHeight="1">
      <c r="B135" s="19" t="s">
        <v>36</v>
      </c>
      <c r="C135" s="20">
        <v>107.0</v>
      </c>
      <c r="D135" s="20">
        <v>67.0</v>
      </c>
      <c r="E135" s="20">
        <v>49.0</v>
      </c>
      <c r="F135" s="20">
        <v>191.0</v>
      </c>
      <c r="G135" s="20">
        <v>28.0</v>
      </c>
      <c r="H135" s="3">
        <v>811.0</v>
      </c>
      <c r="I135" s="20">
        <v>116.0</v>
      </c>
      <c r="J135" s="20">
        <v>75.0</v>
      </c>
      <c r="K135" s="20">
        <v>130.0</v>
      </c>
      <c r="L135" s="3">
        <v>539.0</v>
      </c>
      <c r="M135" s="20">
        <v>186.0</v>
      </c>
      <c r="N135" s="3">
        <v>420.0</v>
      </c>
      <c r="O135" s="20">
        <v>455.0</v>
      </c>
      <c r="P135" s="20">
        <v>70.0</v>
      </c>
      <c r="Q135" s="20">
        <v>304.0</v>
      </c>
      <c r="R135" s="20">
        <v>186.0</v>
      </c>
      <c r="S135" s="20">
        <v>13.0</v>
      </c>
      <c r="T135" s="32">
        <v>51.0</v>
      </c>
      <c r="U135" s="20">
        <v>286.0</v>
      </c>
      <c r="V135" s="20">
        <v>102.0</v>
      </c>
      <c r="W135" s="18"/>
      <c r="X135" s="18"/>
      <c r="Y135" s="18"/>
      <c r="Z135" s="18"/>
      <c r="AA135" s="18"/>
      <c r="AD135" s="21"/>
      <c r="AE135" s="22"/>
      <c r="AF135" s="22"/>
      <c r="AG135" s="22"/>
      <c r="AH135" s="22"/>
      <c r="AI135" s="22"/>
      <c r="AJ135" s="2"/>
      <c r="AK135" s="22"/>
      <c r="AL135" s="22"/>
      <c r="AM135" s="22"/>
      <c r="AN135" s="2"/>
      <c r="AO135" s="22"/>
      <c r="AP135" s="2"/>
      <c r="AQ135" s="22"/>
      <c r="AR135" s="22"/>
      <c r="AS135" s="22"/>
      <c r="AT135" s="22"/>
      <c r="AU135" s="22"/>
      <c r="AV135" s="30"/>
      <c r="AW135" s="22"/>
      <c r="AX135" s="22"/>
      <c r="BC135" s="20"/>
      <c r="BD135" s="20"/>
    </row>
    <row r="136" ht="15.75" customHeight="1">
      <c r="B136" s="19" t="s">
        <v>37</v>
      </c>
      <c r="C136" s="20">
        <v>221.0</v>
      </c>
      <c r="D136" s="20">
        <v>95.0</v>
      </c>
      <c r="E136" s="20">
        <v>79.0</v>
      </c>
      <c r="F136" s="20">
        <v>257.0</v>
      </c>
      <c r="G136" s="20">
        <v>106.0</v>
      </c>
      <c r="H136" s="3">
        <v>649.0</v>
      </c>
      <c r="I136" s="20">
        <v>240.0</v>
      </c>
      <c r="J136" s="20">
        <v>327.0</v>
      </c>
      <c r="K136" s="20">
        <v>176.0</v>
      </c>
      <c r="L136" s="3">
        <v>42.0</v>
      </c>
      <c r="M136" s="20">
        <v>133.0</v>
      </c>
      <c r="N136" s="3">
        <v>233.0</v>
      </c>
      <c r="O136" s="20">
        <v>943.0</v>
      </c>
      <c r="P136" s="20">
        <v>136.0</v>
      </c>
      <c r="Q136" s="20">
        <v>547.0</v>
      </c>
      <c r="R136" s="20">
        <v>132.0</v>
      </c>
      <c r="S136" s="20">
        <v>117.0</v>
      </c>
      <c r="T136" s="32">
        <v>81.0</v>
      </c>
      <c r="U136" s="20">
        <v>347.0</v>
      </c>
      <c r="V136" s="20">
        <v>110.0</v>
      </c>
      <c r="W136" s="18"/>
      <c r="X136" s="18"/>
      <c r="Y136" s="18"/>
      <c r="Z136" s="18"/>
      <c r="AA136" s="18"/>
      <c r="AD136" s="21"/>
      <c r="AE136" s="22"/>
      <c r="AF136" s="22"/>
      <c r="AG136" s="22"/>
      <c r="AH136" s="22"/>
      <c r="AI136" s="22"/>
      <c r="AJ136" s="2"/>
      <c r="AK136" s="22"/>
      <c r="AL136" s="22"/>
      <c r="AM136" s="22"/>
      <c r="AN136" s="2"/>
      <c r="AO136" s="22"/>
      <c r="AP136" s="2"/>
      <c r="AQ136" s="22"/>
      <c r="AR136" s="22"/>
      <c r="AS136" s="22"/>
      <c r="AT136" s="22"/>
      <c r="AU136" s="22"/>
      <c r="AV136" s="30"/>
      <c r="AW136" s="22"/>
      <c r="AX136" s="22"/>
      <c r="BC136" s="20"/>
      <c r="BD136" s="20"/>
    </row>
    <row r="137" ht="15.75" customHeight="1">
      <c r="B137" s="19" t="s">
        <v>38</v>
      </c>
      <c r="C137" s="20">
        <v>151.0</v>
      </c>
      <c r="D137" s="20">
        <v>145.0</v>
      </c>
      <c r="E137" s="20">
        <v>113.0</v>
      </c>
      <c r="F137" s="20">
        <v>196.0</v>
      </c>
      <c r="G137" s="20">
        <v>25.0</v>
      </c>
      <c r="H137" s="3">
        <v>133.0</v>
      </c>
      <c r="I137" s="20">
        <v>108.0</v>
      </c>
      <c r="J137" s="20">
        <v>298.0</v>
      </c>
      <c r="K137" s="20">
        <v>232.0</v>
      </c>
      <c r="L137" s="3">
        <v>142.0</v>
      </c>
      <c r="M137" s="37" t="s">
        <v>59</v>
      </c>
      <c r="N137" s="3">
        <v>233.0</v>
      </c>
      <c r="O137" s="37" t="s">
        <v>59</v>
      </c>
      <c r="P137" s="20">
        <v>74.0</v>
      </c>
      <c r="Q137" s="20">
        <v>551.0</v>
      </c>
      <c r="R137" s="20">
        <v>122.0</v>
      </c>
      <c r="S137" s="20">
        <v>157.0</v>
      </c>
      <c r="T137" s="32">
        <v>54.0</v>
      </c>
      <c r="U137" s="20">
        <v>259.0</v>
      </c>
      <c r="V137" s="20">
        <v>52.0</v>
      </c>
      <c r="W137" s="18"/>
      <c r="X137" s="18"/>
      <c r="Y137" s="18"/>
      <c r="Z137" s="18"/>
      <c r="AA137" s="18"/>
      <c r="AD137" s="21"/>
      <c r="AE137" s="22"/>
      <c r="AF137" s="22"/>
      <c r="AG137" s="22"/>
      <c r="AH137" s="22"/>
      <c r="AI137" s="22"/>
      <c r="AJ137" s="2"/>
      <c r="AK137" s="22"/>
      <c r="AL137" s="22"/>
      <c r="AM137" s="22"/>
      <c r="AN137" s="2"/>
      <c r="AO137" s="22"/>
      <c r="AP137" s="2"/>
      <c r="AQ137" s="22"/>
      <c r="AR137" s="22"/>
      <c r="AS137" s="22"/>
      <c r="AT137" s="22"/>
      <c r="AU137" s="22"/>
      <c r="AV137" s="30"/>
      <c r="AW137" s="22"/>
      <c r="AX137" s="22"/>
      <c r="BC137" s="20"/>
      <c r="BD137" s="20"/>
    </row>
    <row r="138" ht="15.75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18"/>
      <c r="X138" s="18"/>
      <c r="Y138" s="18"/>
      <c r="Z138" s="18"/>
      <c r="AA138" s="18"/>
      <c r="AC138" s="30"/>
      <c r="AD138" s="30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BC138" s="3"/>
      <c r="BD138" s="3"/>
    </row>
    <row r="139" ht="15.75" customHeight="1">
      <c r="A139" s="32" t="s">
        <v>52</v>
      </c>
      <c r="C139" s="3">
        <v>10462.0</v>
      </c>
      <c r="D139" s="3">
        <v>4201.0</v>
      </c>
      <c r="E139" s="3">
        <v>5224.0</v>
      </c>
      <c r="F139" s="3">
        <v>3499.0</v>
      </c>
      <c r="G139" s="3">
        <v>7421.0</v>
      </c>
      <c r="H139" s="3">
        <v>18113.0</v>
      </c>
      <c r="I139" s="3">
        <v>3251.0</v>
      </c>
      <c r="J139" s="3">
        <v>12163.0</v>
      </c>
      <c r="K139" s="3">
        <v>16634.0</v>
      </c>
      <c r="L139" s="3">
        <v>28973.0</v>
      </c>
      <c r="M139" s="3">
        <v>12427.0</v>
      </c>
      <c r="N139" s="3">
        <v>30413.0</v>
      </c>
      <c r="O139" s="3">
        <v>11185.0</v>
      </c>
      <c r="P139" s="3">
        <v>7450.0</v>
      </c>
      <c r="Q139" s="3">
        <v>5291.0</v>
      </c>
      <c r="R139" s="3">
        <v>6366.0</v>
      </c>
      <c r="S139" s="3">
        <v>4285.0</v>
      </c>
      <c r="T139" s="3">
        <v>8035.0</v>
      </c>
      <c r="U139" s="3">
        <v>12328.0</v>
      </c>
      <c r="V139" s="3">
        <v>9882.0</v>
      </c>
      <c r="W139" s="18"/>
      <c r="X139" s="18"/>
      <c r="Y139" s="18"/>
      <c r="Z139" s="18"/>
      <c r="AA139" s="18"/>
      <c r="AC139" s="30"/>
      <c r="AD139" s="30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BC139" s="3"/>
      <c r="BD139" s="3"/>
    </row>
    <row r="140" ht="15.75" customHeight="1">
      <c r="W140" s="18"/>
      <c r="X140" s="18"/>
      <c r="Y140" s="18"/>
      <c r="Z140" s="18"/>
      <c r="AA140" s="18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</row>
    <row r="141" ht="15.75" customHeight="1">
      <c r="A141" s="42" t="s">
        <v>63</v>
      </c>
      <c r="W141" s="16"/>
      <c r="X141" s="16"/>
      <c r="Y141" s="18"/>
      <c r="Z141" s="18"/>
      <c r="AA141" s="18"/>
      <c r="AC141" s="43"/>
      <c r="AY141" s="3"/>
      <c r="AZ141" s="3"/>
      <c r="BC141" s="42"/>
      <c r="BD141" s="42"/>
    </row>
    <row r="142" ht="15.75" customHeight="1">
      <c r="A142" s="3"/>
      <c r="B142" s="2"/>
      <c r="C142" s="2" t="s">
        <v>13</v>
      </c>
      <c r="D142" s="2" t="s">
        <v>14</v>
      </c>
      <c r="E142" s="2" t="s">
        <v>15</v>
      </c>
      <c r="F142" s="2" t="s">
        <v>16</v>
      </c>
      <c r="G142" s="2" t="s">
        <v>17</v>
      </c>
      <c r="H142" s="2" t="s">
        <v>18</v>
      </c>
      <c r="I142" s="2" t="s">
        <v>19</v>
      </c>
      <c r="J142" s="2" t="s">
        <v>20</v>
      </c>
      <c r="K142" s="2" t="s">
        <v>21</v>
      </c>
      <c r="L142" s="2" t="s">
        <v>22</v>
      </c>
      <c r="M142" s="2" t="s">
        <v>23</v>
      </c>
      <c r="N142" s="2" t="s">
        <v>24</v>
      </c>
      <c r="O142" s="2" t="s">
        <v>25</v>
      </c>
      <c r="P142" s="2" t="s">
        <v>26</v>
      </c>
      <c r="Q142" s="2" t="s">
        <v>27</v>
      </c>
      <c r="R142" s="2" t="s">
        <v>28</v>
      </c>
      <c r="S142" s="2" t="s">
        <v>29</v>
      </c>
      <c r="T142" s="2" t="s">
        <v>30</v>
      </c>
      <c r="U142" s="2" t="s">
        <v>31</v>
      </c>
      <c r="V142" s="2" t="s">
        <v>32</v>
      </c>
      <c r="W142" s="16"/>
      <c r="X142" s="16"/>
      <c r="Y142" s="17"/>
      <c r="Z142" s="17"/>
      <c r="AA142" s="18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3" t="s">
        <v>54</v>
      </c>
      <c r="AZ142" s="3" t="s">
        <v>55</v>
      </c>
      <c r="BA142" s="32" t="s">
        <v>56</v>
      </c>
      <c r="BC142" s="3"/>
      <c r="BD142" s="3"/>
    </row>
    <row r="143" ht="15.75" customHeight="1">
      <c r="A143" s="25" t="s">
        <v>33</v>
      </c>
      <c r="B143" s="25" t="s">
        <v>34</v>
      </c>
      <c r="C143" s="20">
        <v>1.0</v>
      </c>
      <c r="D143" s="20">
        <v>1.0</v>
      </c>
      <c r="E143" s="20">
        <v>1.0</v>
      </c>
      <c r="F143" s="20">
        <v>1.0</v>
      </c>
      <c r="G143" s="20">
        <v>1.0</v>
      </c>
      <c r="H143" s="3">
        <v>1.0</v>
      </c>
      <c r="I143" s="20">
        <v>1.0</v>
      </c>
      <c r="J143" s="20">
        <v>0.0</v>
      </c>
      <c r="K143" s="20">
        <v>1.0</v>
      </c>
      <c r="L143" s="20">
        <v>1.0</v>
      </c>
      <c r="M143" s="40">
        <v>1.0</v>
      </c>
      <c r="N143" s="20">
        <v>1.0</v>
      </c>
      <c r="O143" s="20">
        <v>1.0</v>
      </c>
      <c r="P143" s="20">
        <v>1.0</v>
      </c>
      <c r="Q143" s="20">
        <v>1.0</v>
      </c>
      <c r="R143" s="20">
        <v>1.0</v>
      </c>
      <c r="S143" s="44" t="s">
        <v>62</v>
      </c>
      <c r="T143" s="20">
        <v>1.0</v>
      </c>
      <c r="U143" s="20">
        <v>1.0</v>
      </c>
      <c r="V143" s="20">
        <v>1.0</v>
      </c>
      <c r="W143" s="16"/>
      <c r="X143" s="16"/>
      <c r="Y143" s="18"/>
      <c r="Z143" s="18"/>
      <c r="AA143" s="18"/>
      <c r="AC143" s="27"/>
      <c r="AD143" s="27"/>
      <c r="AE143" s="22"/>
      <c r="AF143" s="22"/>
      <c r="AG143" s="22"/>
      <c r="AH143" s="22"/>
      <c r="AI143" s="22"/>
      <c r="AJ143" s="2"/>
      <c r="AK143" s="22"/>
      <c r="AL143" s="22"/>
      <c r="AM143" s="22"/>
      <c r="AN143" s="22"/>
      <c r="AO143" s="41"/>
      <c r="AP143" s="22"/>
      <c r="AQ143" s="22"/>
      <c r="AR143" s="22"/>
      <c r="AS143" s="22"/>
      <c r="AT143" s="22"/>
      <c r="AU143" s="29"/>
      <c r="AV143" s="22"/>
      <c r="AW143" s="22"/>
      <c r="AX143" s="22"/>
      <c r="AY143" s="3"/>
      <c r="AZ143" s="3"/>
      <c r="BC143" s="20"/>
      <c r="BD143" s="20"/>
    </row>
    <row r="144" ht="15.75" customHeight="1">
      <c r="B144" s="25" t="s">
        <v>35</v>
      </c>
      <c r="C144" s="20">
        <v>1.0</v>
      </c>
      <c r="D144" s="20">
        <v>1.0</v>
      </c>
      <c r="E144" s="20">
        <v>1.0</v>
      </c>
      <c r="F144" s="20">
        <v>1.0</v>
      </c>
      <c r="G144" s="20">
        <v>1.0</v>
      </c>
      <c r="H144" s="3">
        <v>1.0</v>
      </c>
      <c r="I144" s="20">
        <v>1.0</v>
      </c>
      <c r="J144" s="20">
        <v>1.0</v>
      </c>
      <c r="K144" s="20">
        <v>1.0</v>
      </c>
      <c r="L144" s="20">
        <v>1.0</v>
      </c>
      <c r="M144" s="40">
        <v>1.0</v>
      </c>
      <c r="N144" s="20">
        <v>1.0</v>
      </c>
      <c r="O144" s="20">
        <v>1.0</v>
      </c>
      <c r="P144" s="20">
        <v>1.0</v>
      </c>
      <c r="Q144" s="20">
        <v>1.0</v>
      </c>
      <c r="R144" s="20">
        <v>0.0</v>
      </c>
      <c r="T144" s="20">
        <v>1.0</v>
      </c>
      <c r="U144" s="20">
        <v>0.0</v>
      </c>
      <c r="V144" s="20">
        <v>1.0</v>
      </c>
      <c r="W144" s="16"/>
      <c r="X144" s="16"/>
      <c r="Y144" s="18"/>
      <c r="Z144" s="18"/>
      <c r="AA144" s="18"/>
      <c r="AC144" s="27"/>
      <c r="AD144" s="27"/>
      <c r="AE144" s="22"/>
      <c r="AF144" s="22"/>
      <c r="AG144" s="22"/>
      <c r="AH144" s="22"/>
      <c r="AI144" s="22"/>
      <c r="AJ144" s="2"/>
      <c r="AK144" s="22"/>
      <c r="AL144" s="22"/>
      <c r="AM144" s="22"/>
      <c r="AN144" s="22"/>
      <c r="AO144" s="41"/>
      <c r="AP144" s="22"/>
      <c r="AQ144" s="22"/>
      <c r="AR144" s="22"/>
      <c r="AS144" s="22"/>
      <c r="AT144" s="22"/>
      <c r="AU144" s="29"/>
      <c r="AV144" s="22"/>
      <c r="AW144" s="22"/>
      <c r="AX144" s="22"/>
      <c r="AY144" s="3"/>
      <c r="AZ144" s="3"/>
      <c r="BC144" s="20"/>
      <c r="BD144" s="20"/>
    </row>
    <row r="145" ht="15.75" customHeight="1">
      <c r="B145" s="25" t="s">
        <v>36</v>
      </c>
      <c r="C145" s="20">
        <v>1.0</v>
      </c>
      <c r="D145" s="20">
        <v>1.0</v>
      </c>
      <c r="E145" s="20">
        <v>1.0</v>
      </c>
      <c r="F145" s="20">
        <v>1.0</v>
      </c>
      <c r="G145" s="20">
        <v>1.0</v>
      </c>
      <c r="H145" s="3">
        <v>1.0</v>
      </c>
      <c r="I145" s="20">
        <v>1.0</v>
      </c>
      <c r="J145" s="20">
        <v>1.0</v>
      </c>
      <c r="K145" s="20">
        <v>1.0</v>
      </c>
      <c r="L145" s="20">
        <v>1.0</v>
      </c>
      <c r="M145" s="40">
        <v>1.0</v>
      </c>
      <c r="N145" s="20">
        <v>1.0</v>
      </c>
      <c r="O145" s="20">
        <v>1.0</v>
      </c>
      <c r="P145" s="20">
        <v>1.0</v>
      </c>
      <c r="Q145" s="20">
        <v>1.0</v>
      </c>
      <c r="R145" s="20">
        <v>0.0</v>
      </c>
      <c r="T145" s="20">
        <v>1.0</v>
      </c>
      <c r="U145" s="20">
        <v>0.0</v>
      </c>
      <c r="V145" s="20">
        <v>1.0</v>
      </c>
      <c r="W145" s="16"/>
      <c r="X145" s="16"/>
      <c r="Y145" s="18"/>
      <c r="Z145" s="18"/>
      <c r="AA145" s="18"/>
      <c r="AC145" s="27"/>
      <c r="AD145" s="27"/>
      <c r="AE145" s="22"/>
      <c r="AF145" s="22"/>
      <c r="AG145" s="22"/>
      <c r="AH145" s="22"/>
      <c r="AI145" s="22"/>
      <c r="AJ145" s="2"/>
      <c r="AK145" s="22"/>
      <c r="AL145" s="22"/>
      <c r="AM145" s="22"/>
      <c r="AN145" s="22"/>
      <c r="AO145" s="41"/>
      <c r="AP145" s="22"/>
      <c r="AQ145" s="22"/>
      <c r="AR145" s="22"/>
      <c r="AS145" s="22"/>
      <c r="AT145" s="22"/>
      <c r="AU145" s="29"/>
      <c r="AV145" s="22"/>
      <c r="AW145" s="22"/>
      <c r="AX145" s="22"/>
      <c r="AY145" s="3"/>
      <c r="AZ145" s="3"/>
      <c r="BC145" s="20"/>
      <c r="BD145" s="20"/>
    </row>
    <row r="146" ht="15.75" customHeight="1">
      <c r="B146" s="25" t="s">
        <v>37</v>
      </c>
      <c r="C146" s="20">
        <v>1.0</v>
      </c>
      <c r="D146" s="20">
        <v>1.0</v>
      </c>
      <c r="E146" s="20">
        <v>1.0</v>
      </c>
      <c r="F146" s="20">
        <v>1.0</v>
      </c>
      <c r="G146" s="20">
        <v>1.0</v>
      </c>
      <c r="H146" s="3">
        <v>1.0</v>
      </c>
      <c r="I146" s="20">
        <v>1.0</v>
      </c>
      <c r="J146" s="20">
        <v>1.0</v>
      </c>
      <c r="K146" s="20">
        <v>1.0</v>
      </c>
      <c r="L146" s="20">
        <v>0.0</v>
      </c>
      <c r="M146" s="20">
        <v>1.0</v>
      </c>
      <c r="N146" s="20">
        <v>1.0</v>
      </c>
      <c r="O146" s="20">
        <v>1.0</v>
      </c>
      <c r="P146" s="20">
        <v>1.0</v>
      </c>
      <c r="Q146" s="20">
        <v>1.0</v>
      </c>
      <c r="R146" s="20">
        <v>0.0</v>
      </c>
      <c r="S146" s="3"/>
      <c r="T146" s="20">
        <v>1.0</v>
      </c>
      <c r="U146" s="20">
        <v>1.0</v>
      </c>
      <c r="V146" s="20">
        <v>0.0</v>
      </c>
      <c r="W146" s="16"/>
      <c r="X146" s="16"/>
      <c r="Y146" s="18"/>
      <c r="Z146" s="18"/>
      <c r="AA146" s="18"/>
      <c r="AC146" s="27"/>
      <c r="AD146" s="27"/>
      <c r="AE146" s="22"/>
      <c r="AF146" s="22"/>
      <c r="AG146" s="22"/>
      <c r="AH146" s="22"/>
      <c r="AI146" s="22"/>
      <c r="AJ146" s="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"/>
      <c r="AV146" s="22"/>
      <c r="AW146" s="22"/>
      <c r="AX146" s="22"/>
      <c r="AY146" s="3"/>
      <c r="AZ146" s="3"/>
      <c r="BC146" s="20"/>
      <c r="BD146" s="20"/>
    </row>
    <row r="147" ht="15.75" customHeight="1">
      <c r="B147" s="25" t="s">
        <v>38</v>
      </c>
      <c r="C147" s="20">
        <v>1.0</v>
      </c>
      <c r="D147" s="20">
        <v>1.0</v>
      </c>
      <c r="E147" s="20">
        <v>1.0</v>
      </c>
      <c r="F147" s="20">
        <v>1.0</v>
      </c>
      <c r="G147" s="20">
        <v>1.0</v>
      </c>
      <c r="H147" s="3">
        <v>1.0</v>
      </c>
      <c r="I147" s="20">
        <v>1.0</v>
      </c>
      <c r="J147" s="20">
        <v>1.0</v>
      </c>
      <c r="K147" s="20">
        <v>1.0</v>
      </c>
      <c r="L147" s="20">
        <v>0.0</v>
      </c>
      <c r="M147" s="20">
        <v>1.0</v>
      </c>
      <c r="N147" s="20">
        <v>1.0</v>
      </c>
      <c r="O147" s="20">
        <v>1.0</v>
      </c>
      <c r="P147" s="20">
        <v>1.0</v>
      </c>
      <c r="Q147" s="20">
        <v>1.0</v>
      </c>
      <c r="R147" s="20">
        <v>0.0</v>
      </c>
      <c r="S147" s="3"/>
      <c r="T147" s="20">
        <v>1.0</v>
      </c>
      <c r="U147" s="20">
        <v>0.0</v>
      </c>
      <c r="V147" s="20">
        <v>1.0</v>
      </c>
      <c r="W147" s="16"/>
      <c r="X147" s="16"/>
      <c r="Y147" s="18"/>
      <c r="Z147" s="18"/>
      <c r="AA147" s="18"/>
      <c r="AC147" s="27"/>
      <c r="AD147" s="27"/>
      <c r="AE147" s="22"/>
      <c r="AF147" s="22"/>
      <c r="AG147" s="22"/>
      <c r="AH147" s="22"/>
      <c r="AI147" s="22"/>
      <c r="AJ147" s="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"/>
      <c r="AV147" s="22"/>
      <c r="AW147" s="22"/>
      <c r="AX147" s="22"/>
      <c r="AY147" s="3"/>
      <c r="AZ147" s="3"/>
      <c r="BC147" s="20"/>
      <c r="BD147" s="20"/>
    </row>
    <row r="148" ht="15.75" customHeight="1">
      <c r="B148" s="25" t="s">
        <v>39</v>
      </c>
      <c r="C148" s="20">
        <v>100.0</v>
      </c>
      <c r="D148" s="20">
        <v>100.0</v>
      </c>
      <c r="E148" s="20">
        <v>100.0</v>
      </c>
      <c r="F148" s="20">
        <v>100.0</v>
      </c>
      <c r="G148" s="20">
        <v>100.0</v>
      </c>
      <c r="H148" s="3">
        <v>100.0</v>
      </c>
      <c r="I148" s="20">
        <v>100.0</v>
      </c>
      <c r="J148" s="20">
        <v>80.0</v>
      </c>
      <c r="K148" s="20">
        <v>100.0</v>
      </c>
      <c r="L148" s="20">
        <v>60.0</v>
      </c>
      <c r="M148" s="20">
        <v>100.0</v>
      </c>
      <c r="N148" s="20">
        <v>100.0</v>
      </c>
      <c r="O148" s="20">
        <v>100.0</v>
      </c>
      <c r="P148" s="20">
        <v>100.0</v>
      </c>
      <c r="Q148" s="20">
        <v>100.0</v>
      </c>
      <c r="R148" s="20">
        <v>20.0</v>
      </c>
      <c r="S148" s="3"/>
      <c r="T148" s="20">
        <v>100.0</v>
      </c>
      <c r="U148" s="20">
        <v>40.0</v>
      </c>
      <c r="V148" s="20">
        <v>80.0</v>
      </c>
      <c r="W148" s="16">
        <f>AVERAGE(C148:V148)</f>
        <v>88.42105263</v>
      </c>
      <c r="X148" s="16">
        <f>STDEV(C148:V148)</f>
        <v>23.39590607</v>
      </c>
      <c r="Y148" s="17">
        <f>(14/19) * 100</f>
        <v>73.68421053</v>
      </c>
      <c r="Z148" s="17"/>
      <c r="AA148" s="18"/>
      <c r="AC148" s="27"/>
      <c r="AD148" s="27">
        <f>5/19*100</f>
        <v>26.31578947</v>
      </c>
      <c r="AG148" s="22"/>
      <c r="AH148" s="22"/>
      <c r="AI148" s="22"/>
      <c r="AJ148" s="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"/>
      <c r="AV148" s="22"/>
      <c r="AW148" s="22"/>
      <c r="AX148" s="22"/>
      <c r="AY148" s="20" t="str">
        <f>AVERAGE(AE148:AX148)</f>
        <v>#DIV/0!</v>
      </c>
      <c r="AZ148" s="20" t="str">
        <f>STDEV(AE148:AX148)</f>
        <v>#DIV/0!</v>
      </c>
      <c r="BA148" s="17">
        <f>(14/19) * 100</f>
        <v>73.68421053</v>
      </c>
      <c r="BC148" s="20"/>
      <c r="BD148" s="20"/>
    </row>
    <row r="149" ht="15.75" customHeight="1">
      <c r="A149" s="25" t="s">
        <v>40</v>
      </c>
      <c r="B149" s="25" t="s">
        <v>34</v>
      </c>
      <c r="C149" s="20">
        <v>100.0</v>
      </c>
      <c r="D149" s="20">
        <v>100.0</v>
      </c>
      <c r="E149" s="20">
        <v>100.0</v>
      </c>
      <c r="F149" s="24"/>
      <c r="G149" s="24"/>
      <c r="H149" s="23"/>
      <c r="I149" s="24"/>
      <c r="J149" s="24"/>
      <c r="K149" s="24"/>
      <c r="L149" s="22">
        <v>100.0</v>
      </c>
      <c r="M149" s="22">
        <v>100.0</v>
      </c>
      <c r="N149" s="22">
        <v>100.0</v>
      </c>
      <c r="O149" s="22">
        <v>100.0</v>
      </c>
      <c r="P149" s="24"/>
      <c r="Q149" s="20">
        <v>100.0</v>
      </c>
      <c r="R149" s="20">
        <v>100.0</v>
      </c>
      <c r="S149" s="24"/>
      <c r="T149" s="24"/>
      <c r="U149" s="22">
        <v>100.0</v>
      </c>
      <c r="V149" s="22">
        <v>100.0</v>
      </c>
      <c r="W149" s="16"/>
      <c r="X149" s="16"/>
      <c r="Y149" s="17"/>
      <c r="Z149" s="17"/>
      <c r="AA149" s="18"/>
      <c r="AC149" s="27"/>
      <c r="AD149" s="27"/>
      <c r="AE149" s="22"/>
      <c r="AF149" s="22"/>
      <c r="AG149" s="22"/>
      <c r="AH149" s="2"/>
      <c r="AI149" s="2"/>
      <c r="AJ149" s="2"/>
      <c r="AK149" s="2"/>
      <c r="AL149" s="2"/>
      <c r="AM149" s="2"/>
      <c r="AN149" s="22"/>
      <c r="AO149" s="22"/>
      <c r="AP149" s="22"/>
      <c r="AQ149" s="22"/>
      <c r="AR149" s="2"/>
      <c r="AS149" s="22"/>
      <c r="AT149" s="22"/>
      <c r="AU149" s="2"/>
      <c r="AV149" s="2"/>
      <c r="AW149" s="22"/>
      <c r="AX149" s="22"/>
      <c r="AY149" s="3"/>
      <c r="AZ149" s="3"/>
      <c r="BA149" s="32" t="s">
        <v>57</v>
      </c>
      <c r="BC149" s="22"/>
      <c r="BD149" s="22"/>
    </row>
    <row r="150" ht="15.75" customHeight="1">
      <c r="B150" s="25" t="s">
        <v>35</v>
      </c>
      <c r="C150" s="20">
        <v>100.0</v>
      </c>
      <c r="D150" s="20">
        <v>100.0</v>
      </c>
      <c r="E150" s="20">
        <v>100.0</v>
      </c>
      <c r="F150" s="24"/>
      <c r="G150" s="24"/>
      <c r="H150" s="23"/>
      <c r="I150" s="24"/>
      <c r="J150" s="24"/>
      <c r="K150" s="24"/>
      <c r="L150" s="22">
        <v>100.0</v>
      </c>
      <c r="M150" s="22">
        <v>100.0</v>
      </c>
      <c r="N150" s="22">
        <v>100.0</v>
      </c>
      <c r="O150" s="22">
        <v>100.0</v>
      </c>
      <c r="P150" s="24"/>
      <c r="Q150" s="20">
        <v>100.0</v>
      </c>
      <c r="R150" s="20">
        <v>0.0</v>
      </c>
      <c r="S150" s="24"/>
      <c r="T150" s="24"/>
      <c r="U150" s="22">
        <v>0.0</v>
      </c>
      <c r="V150" s="22">
        <v>100.0</v>
      </c>
      <c r="W150" s="16"/>
      <c r="X150" s="16"/>
      <c r="Y150" s="17"/>
      <c r="Z150" s="17"/>
      <c r="AA150" s="18"/>
      <c r="AC150" s="27"/>
      <c r="AD150" s="27"/>
      <c r="AE150" s="22"/>
      <c r="AF150" s="22"/>
      <c r="AG150" s="22"/>
      <c r="AH150" s="2"/>
      <c r="AI150" s="2"/>
      <c r="AJ150" s="2"/>
      <c r="AK150" s="2"/>
      <c r="AL150" s="2"/>
      <c r="AM150" s="2"/>
      <c r="AN150" s="22"/>
      <c r="AO150" s="22"/>
      <c r="AP150" s="22"/>
      <c r="AQ150" s="22"/>
      <c r="AR150" s="2"/>
      <c r="AS150" s="22"/>
      <c r="AT150" s="22"/>
      <c r="AU150" s="2"/>
      <c r="AV150" s="2"/>
      <c r="AW150" s="22"/>
      <c r="AX150" s="22"/>
      <c r="AY150" s="3"/>
      <c r="AZ150" s="3"/>
      <c r="BA150" s="32"/>
      <c r="BB150" s="32"/>
      <c r="BC150" s="22"/>
      <c r="BD150" s="22"/>
    </row>
    <row r="151" ht="15.75" customHeight="1">
      <c r="B151" s="25" t="s">
        <v>36</v>
      </c>
      <c r="C151" s="20">
        <v>100.0</v>
      </c>
      <c r="D151" s="20">
        <v>100.0</v>
      </c>
      <c r="E151" s="20">
        <v>100.0</v>
      </c>
      <c r="F151" s="24"/>
      <c r="G151" s="24"/>
      <c r="H151" s="23"/>
      <c r="I151" s="24"/>
      <c r="J151" s="24"/>
      <c r="K151" s="24"/>
      <c r="L151" s="22">
        <v>100.0</v>
      </c>
      <c r="M151" s="22">
        <v>100.0</v>
      </c>
      <c r="N151" s="22">
        <v>100.0</v>
      </c>
      <c r="O151" s="22">
        <v>100.0</v>
      </c>
      <c r="P151" s="24"/>
      <c r="Q151" s="20">
        <v>100.0</v>
      </c>
      <c r="R151" s="20">
        <v>0.0</v>
      </c>
      <c r="S151" s="24"/>
      <c r="T151" s="24"/>
      <c r="U151" s="22">
        <v>0.0</v>
      </c>
      <c r="V151" s="22">
        <v>100.0</v>
      </c>
      <c r="W151" s="16"/>
      <c r="X151" s="16"/>
      <c r="Y151" s="18"/>
      <c r="Z151" s="18"/>
      <c r="AA151" s="18"/>
      <c r="AC151" s="27"/>
      <c r="AD151" s="27"/>
      <c r="AE151" s="22"/>
      <c r="AF151" s="22"/>
      <c r="AG151" s="22"/>
      <c r="AH151" s="2"/>
      <c r="AI151" s="2"/>
      <c r="AJ151" s="2"/>
      <c r="AK151" s="2"/>
      <c r="AL151" s="2"/>
      <c r="AM151" s="2"/>
      <c r="AN151" s="22"/>
      <c r="AO151" s="22"/>
      <c r="AP151" s="22"/>
      <c r="AQ151" s="22"/>
      <c r="AR151" s="2"/>
      <c r="AS151" s="22"/>
      <c r="AT151" s="22"/>
      <c r="AU151" s="2"/>
      <c r="AV151" s="2"/>
      <c r="AW151" s="22"/>
      <c r="AX151" s="22"/>
      <c r="AY151" s="3"/>
      <c r="AZ151" s="3"/>
      <c r="BC151" s="22"/>
      <c r="BD151" s="22"/>
    </row>
    <row r="152" ht="15.75" customHeight="1">
      <c r="B152" s="25" t="s">
        <v>37</v>
      </c>
      <c r="C152" s="20">
        <v>100.0</v>
      </c>
      <c r="D152" s="20">
        <v>100.0</v>
      </c>
      <c r="E152" s="20">
        <v>100.0</v>
      </c>
      <c r="F152" s="24"/>
      <c r="G152" s="24"/>
      <c r="H152" s="23"/>
      <c r="I152" s="24"/>
      <c r="J152" s="24"/>
      <c r="K152" s="24"/>
      <c r="L152" s="22">
        <v>0.0</v>
      </c>
      <c r="M152" s="22">
        <v>100.0</v>
      </c>
      <c r="N152" s="22">
        <v>100.0</v>
      </c>
      <c r="O152" s="22">
        <v>100.0</v>
      </c>
      <c r="P152" s="24"/>
      <c r="Q152" s="20">
        <v>100.0</v>
      </c>
      <c r="R152" s="20">
        <v>0.0</v>
      </c>
      <c r="S152" s="24"/>
      <c r="T152" s="24"/>
      <c r="U152" s="22">
        <v>100.0</v>
      </c>
      <c r="V152" s="22">
        <v>0.0</v>
      </c>
      <c r="W152" s="16"/>
      <c r="X152" s="16"/>
      <c r="Y152" s="18"/>
      <c r="Z152" s="18"/>
      <c r="AA152" s="18"/>
      <c r="AC152" s="27"/>
      <c r="AD152" s="27"/>
      <c r="AE152" s="22"/>
      <c r="AF152" s="22"/>
      <c r="AG152" s="22"/>
      <c r="AH152" s="2"/>
      <c r="AI152" s="2"/>
      <c r="AJ152" s="2"/>
      <c r="AK152" s="2"/>
      <c r="AL152" s="2"/>
      <c r="AM152" s="2"/>
      <c r="AN152" s="22"/>
      <c r="AO152" s="22"/>
      <c r="AP152" s="22"/>
      <c r="AQ152" s="22"/>
      <c r="AR152" s="2"/>
      <c r="AS152" s="22"/>
      <c r="AT152" s="22"/>
      <c r="AU152" s="2"/>
      <c r="AV152" s="2"/>
      <c r="AW152" s="22"/>
      <c r="AX152" s="22"/>
      <c r="AY152" s="3"/>
      <c r="AZ152" s="3"/>
      <c r="BC152" s="22"/>
      <c r="BD152" s="22"/>
    </row>
    <row r="153" ht="15.75" customHeight="1">
      <c r="B153" s="25" t="s">
        <v>38</v>
      </c>
      <c r="C153" s="20">
        <v>100.0</v>
      </c>
      <c r="D153" s="20">
        <v>100.0</v>
      </c>
      <c r="E153" s="20">
        <v>100.0</v>
      </c>
      <c r="F153" s="24"/>
      <c r="G153" s="24"/>
      <c r="H153" s="23"/>
      <c r="I153" s="24"/>
      <c r="J153" s="24"/>
      <c r="K153" s="24"/>
      <c r="L153" s="22">
        <v>0.0</v>
      </c>
      <c r="M153" s="22">
        <v>100.0</v>
      </c>
      <c r="N153" s="22">
        <v>100.0</v>
      </c>
      <c r="O153" s="22">
        <v>100.0</v>
      </c>
      <c r="P153" s="24"/>
      <c r="Q153" s="20">
        <v>100.0</v>
      </c>
      <c r="R153" s="20">
        <v>0.0</v>
      </c>
      <c r="S153" s="24"/>
      <c r="T153" s="24"/>
      <c r="U153" s="22">
        <v>0.0</v>
      </c>
      <c r="V153" s="22">
        <v>100.0</v>
      </c>
      <c r="W153" s="16"/>
      <c r="X153" s="16"/>
      <c r="Y153" s="18"/>
      <c r="Z153" s="18"/>
      <c r="AA153" s="18"/>
      <c r="AC153" s="27"/>
      <c r="AD153" s="27"/>
      <c r="AE153" s="22"/>
      <c r="AF153" s="22"/>
      <c r="AG153" s="22"/>
      <c r="AH153" s="2"/>
      <c r="AI153" s="2"/>
      <c r="AJ153" s="2"/>
      <c r="AK153" s="2"/>
      <c r="AL153" s="2"/>
      <c r="AM153" s="2"/>
      <c r="AN153" s="22"/>
      <c r="AO153" s="22"/>
      <c r="AP153" s="22"/>
      <c r="AQ153" s="22"/>
      <c r="AR153" s="2"/>
      <c r="AS153" s="22"/>
      <c r="AT153" s="22"/>
      <c r="AU153" s="2"/>
      <c r="AV153" s="2"/>
      <c r="AW153" s="22"/>
      <c r="AX153" s="22"/>
      <c r="AY153" s="3"/>
      <c r="AZ153" s="3"/>
      <c r="BC153" s="22"/>
      <c r="BD153" s="22"/>
    </row>
    <row r="154" ht="15.75" customHeight="1">
      <c r="B154" s="25" t="s">
        <v>42</v>
      </c>
      <c r="C154" s="20">
        <f t="shared" ref="C154:E154" si="76">AVERAGE(C149:C153)</f>
        <v>100</v>
      </c>
      <c r="D154" s="20">
        <f t="shared" si="76"/>
        <v>100</v>
      </c>
      <c r="E154" s="20">
        <f t="shared" si="76"/>
        <v>100</v>
      </c>
      <c r="F154" s="24" t="s">
        <v>44</v>
      </c>
      <c r="G154" s="24" t="s">
        <v>44</v>
      </c>
      <c r="H154" s="34" t="s">
        <v>43</v>
      </c>
      <c r="I154" s="24" t="s">
        <v>44</v>
      </c>
      <c r="J154" s="24" t="s">
        <v>44</v>
      </c>
      <c r="K154" s="24" t="s">
        <v>44</v>
      </c>
      <c r="L154" s="22">
        <f t="shared" ref="L154:O154" si="77">AVERAGE(L149:L153)</f>
        <v>60</v>
      </c>
      <c r="M154" s="22">
        <f t="shared" si="77"/>
        <v>100</v>
      </c>
      <c r="N154" s="22">
        <f t="shared" si="77"/>
        <v>100</v>
      </c>
      <c r="O154" s="22">
        <f t="shared" si="77"/>
        <v>100</v>
      </c>
      <c r="P154" s="24" t="s">
        <v>44</v>
      </c>
      <c r="Q154" s="20">
        <f t="shared" ref="Q154:R154" si="78">AVERAGE(Q149:Q153)</f>
        <v>100</v>
      </c>
      <c r="R154" s="20">
        <f t="shared" si="78"/>
        <v>20</v>
      </c>
      <c r="S154" s="24" t="s">
        <v>44</v>
      </c>
      <c r="T154" s="24" t="s">
        <v>44</v>
      </c>
      <c r="U154" s="22">
        <f t="shared" ref="U154:V154" si="79">AVERAGE(U149:U153)</f>
        <v>40</v>
      </c>
      <c r="V154" s="22">
        <f t="shared" si="79"/>
        <v>80</v>
      </c>
      <c r="W154" s="16">
        <f>AVERAGE(C154:E154,L154:O154,Q154:R154,U154:V154)</f>
        <v>81.81818182</v>
      </c>
      <c r="X154" s="16">
        <f>STDEV(C154:E154,L154:O154,Q154:R154,U154:V154)</f>
        <v>28.91995222</v>
      </c>
      <c r="Y154" s="17"/>
      <c r="Z154" s="17">
        <f>(7/11) * 100</f>
        <v>63.63636364</v>
      </c>
      <c r="AA154" s="18"/>
      <c r="AC154" s="27">
        <f>(7/11) * 100</f>
        <v>63.63636364</v>
      </c>
      <c r="AD154" s="27"/>
      <c r="AE154" s="22"/>
      <c r="AF154" s="22"/>
      <c r="AG154" s="28">
        <f>4/11*100</f>
        <v>36.36363636</v>
      </c>
      <c r="AJ154" s="5"/>
      <c r="AK154" s="2"/>
      <c r="AL154" s="2"/>
      <c r="AM154" s="2"/>
      <c r="AN154" s="22"/>
      <c r="AO154" s="22"/>
      <c r="AP154" s="22"/>
      <c r="AQ154" s="22"/>
      <c r="AR154" s="2"/>
      <c r="AS154" s="22"/>
      <c r="AT154" s="22"/>
      <c r="AU154" s="2"/>
      <c r="AV154" s="2"/>
      <c r="AW154" s="22"/>
      <c r="AX154" s="22"/>
      <c r="AY154" s="20">
        <f>AVERAGE(AE154:AG154,AN154:AQ154,AS154:AT154,AW154:AX154)</f>
        <v>36.36363636</v>
      </c>
      <c r="AZ154" s="20" t="str">
        <f>STDEV(AE154:AG154,AN154:AQ154,AS154:AT154,AW154:AX154)</f>
        <v>#DIV/0!</v>
      </c>
      <c r="BA154" s="17">
        <f>(7/11) * 100</f>
        <v>63.63636364</v>
      </c>
      <c r="BC154" s="22"/>
      <c r="BD154" s="22"/>
    </row>
    <row r="155" ht="15.75" customHeight="1">
      <c r="W155" s="18"/>
      <c r="X155" s="18"/>
      <c r="Y155" s="17"/>
      <c r="Z155" s="17"/>
      <c r="AA155" s="18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BA155" s="17" t="s">
        <v>58</v>
      </c>
    </row>
    <row r="156" ht="15.75" customHeight="1">
      <c r="A156" s="31" t="s">
        <v>46</v>
      </c>
      <c r="B156" s="19" t="s">
        <v>34</v>
      </c>
      <c r="C156" s="20">
        <f t="shared" ref="C156:V156" si="80">(C167/C173)*100</f>
        <v>0</v>
      </c>
      <c r="D156" s="20">
        <f t="shared" si="80"/>
        <v>1.427489997</v>
      </c>
      <c r="E156" s="20">
        <f t="shared" si="80"/>
        <v>3.064640742</v>
      </c>
      <c r="F156" s="20">
        <f t="shared" si="80"/>
        <v>3.45805994</v>
      </c>
      <c r="G156" s="20">
        <f t="shared" si="80"/>
        <v>6.83972912</v>
      </c>
      <c r="H156" s="20">
        <f t="shared" si="80"/>
        <v>4.734994944</v>
      </c>
      <c r="I156" s="20">
        <f t="shared" si="80"/>
        <v>0</v>
      </c>
      <c r="J156" s="20">
        <f t="shared" si="80"/>
        <v>10.22192334</v>
      </c>
      <c r="K156" s="20">
        <f t="shared" si="80"/>
        <v>2.599782113</v>
      </c>
      <c r="L156" s="20">
        <f t="shared" si="80"/>
        <v>1.255319149</v>
      </c>
      <c r="M156" s="20">
        <f t="shared" si="80"/>
        <v>4.577999566</v>
      </c>
      <c r="N156" s="20">
        <f t="shared" si="80"/>
        <v>1.498259597</v>
      </c>
      <c r="O156" s="20">
        <f t="shared" si="80"/>
        <v>2.570197593</v>
      </c>
      <c r="P156" s="20">
        <f t="shared" si="80"/>
        <v>7.451111005</v>
      </c>
      <c r="Q156" s="20">
        <f t="shared" si="80"/>
        <v>0.3214285714</v>
      </c>
      <c r="R156" s="20">
        <f t="shared" si="80"/>
        <v>0.2032461311</v>
      </c>
      <c r="S156" s="20">
        <f t="shared" si="80"/>
        <v>8.106923751</v>
      </c>
      <c r="T156" s="20">
        <f t="shared" si="80"/>
        <v>2.383531961</v>
      </c>
      <c r="U156" s="20">
        <f t="shared" si="80"/>
        <v>12.17147529</v>
      </c>
      <c r="V156" s="20">
        <f t="shared" si="80"/>
        <v>5.72609209</v>
      </c>
      <c r="W156" s="18"/>
      <c r="X156" s="18"/>
      <c r="Y156" s="18"/>
      <c r="Z156" s="18"/>
      <c r="AA156" s="18"/>
      <c r="AC156" s="29"/>
      <c r="AD156" s="21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BC156" s="20"/>
      <c r="BD156" s="20"/>
    </row>
    <row r="157" ht="15.75" customHeight="1">
      <c r="B157" s="19" t="s">
        <v>35</v>
      </c>
      <c r="C157" s="20">
        <f t="shared" ref="C157:V157" si="81">(C168/C173)*100</f>
        <v>0</v>
      </c>
      <c r="D157" s="20">
        <f t="shared" si="81"/>
        <v>2.033091814</v>
      </c>
      <c r="E157" s="20">
        <f t="shared" si="81"/>
        <v>0</v>
      </c>
      <c r="F157" s="20">
        <f t="shared" si="81"/>
        <v>3.174321688</v>
      </c>
      <c r="G157" s="20">
        <f t="shared" si="81"/>
        <v>9.390519187</v>
      </c>
      <c r="H157" s="20">
        <f t="shared" si="81"/>
        <v>4.705252513</v>
      </c>
      <c r="I157" s="20">
        <f t="shared" si="81"/>
        <v>5.03653039</v>
      </c>
      <c r="J157" s="20">
        <f t="shared" si="81"/>
        <v>8.473436449</v>
      </c>
      <c r="K157" s="20">
        <f t="shared" si="81"/>
        <v>0.6189957413</v>
      </c>
      <c r="L157" s="20">
        <f t="shared" si="81"/>
        <v>0.6808510638</v>
      </c>
      <c r="M157" s="20">
        <f t="shared" si="81"/>
        <v>4.25254936</v>
      </c>
      <c r="N157" s="20">
        <f t="shared" si="81"/>
        <v>2.835090551</v>
      </c>
      <c r="O157" s="20">
        <f t="shared" si="81"/>
        <v>0.1931362353</v>
      </c>
      <c r="P157" s="20">
        <f t="shared" si="81"/>
        <v>7.18941809</v>
      </c>
      <c r="Q157" s="20">
        <f t="shared" si="81"/>
        <v>0.3214285714</v>
      </c>
      <c r="R157" s="20" t="str">
        <f t="shared" si="81"/>
        <v>#VALUE!</v>
      </c>
      <c r="S157" s="20">
        <f t="shared" si="81"/>
        <v>6.748466258</v>
      </c>
      <c r="T157" s="20">
        <f t="shared" si="81"/>
        <v>3.066088841</v>
      </c>
      <c r="U157" s="20" t="str">
        <f t="shared" si="81"/>
        <v>#VALUE!</v>
      </c>
      <c r="V157" s="20">
        <f t="shared" si="81"/>
        <v>4.914403778</v>
      </c>
      <c r="W157" s="18"/>
      <c r="X157" s="18"/>
      <c r="Y157" s="17"/>
      <c r="Z157" s="17"/>
      <c r="AA157" s="18"/>
      <c r="AD157" s="21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BA157" s="32"/>
      <c r="BC157" s="20"/>
      <c r="BD157" s="20"/>
    </row>
    <row r="158" ht="15.75" customHeight="1">
      <c r="B158" s="19" t="s">
        <v>36</v>
      </c>
      <c r="C158" s="20">
        <f t="shared" ref="C158:V158" si="82">(C169/C173)*100</f>
        <v>0</v>
      </c>
      <c r="D158" s="20">
        <f t="shared" si="82"/>
        <v>1.297718179</v>
      </c>
      <c r="E158" s="20">
        <f t="shared" si="82"/>
        <v>0</v>
      </c>
      <c r="F158" s="20">
        <f t="shared" si="82"/>
        <v>1.028551162</v>
      </c>
      <c r="G158" s="20">
        <f t="shared" si="82"/>
        <v>4.288939052</v>
      </c>
      <c r="H158" s="20">
        <f t="shared" si="82"/>
        <v>1.689370055</v>
      </c>
      <c r="I158" s="20">
        <f t="shared" si="82"/>
        <v>5.03653039</v>
      </c>
      <c r="J158" s="20">
        <f t="shared" si="82"/>
        <v>0</v>
      </c>
      <c r="K158" s="20">
        <f t="shared" si="82"/>
        <v>1.876795088</v>
      </c>
      <c r="L158" s="20">
        <f t="shared" si="82"/>
        <v>0.7872340426</v>
      </c>
      <c r="M158" s="20">
        <f t="shared" si="82"/>
        <v>5.163809937</v>
      </c>
      <c r="N158" s="20">
        <f t="shared" si="82"/>
        <v>0.6507592191</v>
      </c>
      <c r="O158" s="20">
        <f t="shared" si="82"/>
        <v>0.3714158372</v>
      </c>
      <c r="P158" s="20">
        <f t="shared" si="82"/>
        <v>5.186277775</v>
      </c>
      <c r="Q158" s="20">
        <f t="shared" si="82"/>
        <v>0.3214285714</v>
      </c>
      <c r="R158" s="20" t="str">
        <f t="shared" si="82"/>
        <v>#VALUE!</v>
      </c>
      <c r="S158" s="20">
        <f t="shared" si="82"/>
        <v>7.537248028</v>
      </c>
      <c r="T158" s="20">
        <f t="shared" si="82"/>
        <v>4.322860238</v>
      </c>
      <c r="U158" s="20" t="str">
        <f t="shared" si="82"/>
        <v>#VALUE!</v>
      </c>
      <c r="V158" s="20">
        <f t="shared" si="82"/>
        <v>12.92798111</v>
      </c>
      <c r="W158" s="18"/>
      <c r="X158" s="18"/>
      <c r="Y158" s="18"/>
      <c r="Z158" s="18"/>
      <c r="AA158" s="18"/>
      <c r="AD158" s="21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BC158" s="20"/>
      <c r="BD158" s="20"/>
    </row>
    <row r="159" ht="15.75" customHeight="1">
      <c r="B159" s="19" t="s">
        <v>37</v>
      </c>
      <c r="C159" s="20">
        <f t="shared" ref="C159:V159" si="83">(C170/C173)*100</f>
        <v>0</v>
      </c>
      <c r="D159" s="20">
        <f t="shared" si="83"/>
        <v>0</v>
      </c>
      <c r="E159" s="20">
        <f t="shared" si="83"/>
        <v>0</v>
      </c>
      <c r="F159" s="20">
        <f t="shared" si="83"/>
        <v>1.188153928</v>
      </c>
      <c r="G159" s="20">
        <f t="shared" si="83"/>
        <v>0.6094808126</v>
      </c>
      <c r="H159" s="20">
        <f t="shared" si="83"/>
        <v>3.02777943</v>
      </c>
      <c r="I159" s="20">
        <f t="shared" si="83"/>
        <v>5.03653039</v>
      </c>
      <c r="J159" s="20">
        <f t="shared" si="83"/>
        <v>11.56691325</v>
      </c>
      <c r="K159" s="20">
        <f t="shared" si="83"/>
        <v>6.12062989</v>
      </c>
      <c r="L159" s="20">
        <f t="shared" si="83"/>
        <v>0.4893617021</v>
      </c>
      <c r="M159" s="20">
        <f t="shared" si="83"/>
        <v>9.264482534</v>
      </c>
      <c r="N159" s="20">
        <f t="shared" si="83"/>
        <v>1.235938052</v>
      </c>
      <c r="O159" s="20">
        <f t="shared" si="83"/>
        <v>1.218243946</v>
      </c>
      <c r="P159" s="20">
        <f t="shared" si="83"/>
        <v>4.38692487</v>
      </c>
      <c r="Q159" s="20">
        <f t="shared" si="83"/>
        <v>0.4107142857</v>
      </c>
      <c r="R159" s="20" t="str">
        <f t="shared" si="83"/>
        <v>#VALUE!</v>
      </c>
      <c r="S159" s="20">
        <f t="shared" si="83"/>
        <v>2.979842244</v>
      </c>
      <c r="T159" s="20">
        <f t="shared" si="83"/>
        <v>3.23943662</v>
      </c>
      <c r="U159" s="20">
        <f t="shared" si="83"/>
        <v>5.396565822</v>
      </c>
      <c r="V159" s="20" t="str">
        <f t="shared" si="83"/>
        <v>#VALUE!</v>
      </c>
      <c r="W159" s="18"/>
      <c r="X159" s="18"/>
      <c r="Y159" s="18"/>
      <c r="Z159" s="18"/>
      <c r="AA159" s="18"/>
      <c r="AD159" s="21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BC159" s="20"/>
      <c r="BD159" s="20"/>
    </row>
    <row r="160" ht="15.75" customHeight="1">
      <c r="B160" s="19" t="s">
        <v>38</v>
      </c>
      <c r="C160" s="20">
        <f t="shared" ref="C160:V160" si="84">(C171/C173)*100</f>
        <v>0</v>
      </c>
      <c r="D160" s="20">
        <f t="shared" si="84"/>
        <v>0.8435168163</v>
      </c>
      <c r="E160" s="20">
        <f t="shared" si="84"/>
        <v>0</v>
      </c>
      <c r="F160" s="20">
        <f t="shared" si="84"/>
        <v>1.950700479</v>
      </c>
      <c r="G160" s="20">
        <f t="shared" si="84"/>
        <v>2.437923251</v>
      </c>
      <c r="H160" s="20">
        <f t="shared" si="84"/>
        <v>3.723752305</v>
      </c>
      <c r="I160" s="20">
        <f t="shared" si="84"/>
        <v>4.756723146</v>
      </c>
      <c r="J160" s="20">
        <f t="shared" si="84"/>
        <v>3.69872226</v>
      </c>
      <c r="K160" s="20">
        <f t="shared" si="84"/>
        <v>3.00584332</v>
      </c>
      <c r="L160" s="20">
        <f t="shared" si="84"/>
        <v>0.9574468085</v>
      </c>
      <c r="M160" s="20">
        <f t="shared" si="84"/>
        <v>3.818615752</v>
      </c>
      <c r="N160" s="20">
        <f t="shared" si="84"/>
        <v>0.9837057963</v>
      </c>
      <c r="O160" s="20">
        <f t="shared" si="84"/>
        <v>1.173674045</v>
      </c>
      <c r="P160" s="20">
        <f t="shared" si="84"/>
        <v>2.31241376</v>
      </c>
      <c r="Q160" s="20">
        <f t="shared" si="84"/>
        <v>0.3214285714</v>
      </c>
      <c r="R160" s="20" t="str">
        <f t="shared" si="84"/>
        <v>#VALUE!</v>
      </c>
      <c r="S160" s="20">
        <f t="shared" si="84"/>
        <v>3.2427695</v>
      </c>
      <c r="T160" s="20">
        <f t="shared" si="84"/>
        <v>4.572047671</v>
      </c>
      <c r="U160" s="20" t="str">
        <f t="shared" si="84"/>
        <v>#VALUE!</v>
      </c>
      <c r="V160" s="20">
        <f t="shared" si="84"/>
        <v>6.596812279</v>
      </c>
      <c r="W160" s="18"/>
      <c r="X160" s="18"/>
      <c r="Y160" s="18"/>
      <c r="Z160" s="18"/>
      <c r="AA160" s="18"/>
      <c r="AD160" s="21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BC160" s="20"/>
      <c r="BD160" s="20"/>
    </row>
    <row r="161" ht="15.75" customHeight="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18"/>
      <c r="X161" s="18"/>
      <c r="Y161" s="18"/>
      <c r="Z161" s="18"/>
      <c r="AA161" s="18"/>
      <c r="AD161" s="30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BC161" s="3"/>
      <c r="BD161" s="3"/>
    </row>
    <row r="162" ht="15.75" customHeight="1">
      <c r="B162" s="32" t="s">
        <v>47</v>
      </c>
      <c r="C162" s="3">
        <f t="shared" ref="C162:Q162" si="85">MAX(C156:C160)</f>
        <v>0</v>
      </c>
      <c r="D162" s="3">
        <f t="shared" si="85"/>
        <v>2.033091814</v>
      </c>
      <c r="E162" s="3">
        <f t="shared" si="85"/>
        <v>3.064640742</v>
      </c>
      <c r="F162" s="3">
        <f t="shared" si="85"/>
        <v>3.45805994</v>
      </c>
      <c r="G162" s="3">
        <f t="shared" si="85"/>
        <v>9.390519187</v>
      </c>
      <c r="H162" s="3">
        <f t="shared" si="85"/>
        <v>4.734994944</v>
      </c>
      <c r="I162" s="3">
        <f t="shared" si="85"/>
        <v>5.03653039</v>
      </c>
      <c r="J162" s="3">
        <f t="shared" si="85"/>
        <v>11.56691325</v>
      </c>
      <c r="K162" s="3">
        <f t="shared" si="85"/>
        <v>6.12062989</v>
      </c>
      <c r="L162" s="3">
        <f t="shared" si="85"/>
        <v>1.255319149</v>
      </c>
      <c r="M162" s="3">
        <f t="shared" si="85"/>
        <v>9.264482534</v>
      </c>
      <c r="N162" s="3">
        <f t="shared" si="85"/>
        <v>2.835090551</v>
      </c>
      <c r="O162" s="3">
        <f t="shared" si="85"/>
        <v>2.570197593</v>
      </c>
      <c r="P162" s="3">
        <f t="shared" si="85"/>
        <v>7.451111005</v>
      </c>
      <c r="Q162" s="3">
        <f t="shared" si="85"/>
        <v>0.4107142857</v>
      </c>
      <c r="R162" s="3">
        <f>MAX(R156)</f>
        <v>0.2032461311</v>
      </c>
      <c r="S162" s="3">
        <f t="shared" ref="S162:T162" si="86">MAX(S156:S160)</f>
        <v>8.106923751</v>
      </c>
      <c r="T162" s="3">
        <f t="shared" si="86"/>
        <v>4.572047671</v>
      </c>
      <c r="U162" s="3">
        <f>MAX(U156,U159)</f>
        <v>12.17147529</v>
      </c>
      <c r="V162" s="3">
        <f>MAX(V156:V158,V160)</f>
        <v>12.92798111</v>
      </c>
      <c r="W162" s="18"/>
      <c r="X162" s="18"/>
      <c r="Y162" s="18"/>
      <c r="Z162" s="18"/>
      <c r="AA162" s="18"/>
      <c r="AD162" s="30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BC162" s="3"/>
      <c r="BD162" s="3"/>
    </row>
    <row r="163" ht="15.75" customHeight="1">
      <c r="B163" s="32" t="s">
        <v>48</v>
      </c>
      <c r="C163" s="32">
        <f t="shared" ref="C163:Q163" si="87">min(C156:C160)</f>
        <v>0</v>
      </c>
      <c r="D163" s="32">
        <f t="shared" si="87"/>
        <v>0</v>
      </c>
      <c r="E163" s="32">
        <f t="shared" si="87"/>
        <v>0</v>
      </c>
      <c r="F163" s="32">
        <f t="shared" si="87"/>
        <v>1.028551162</v>
      </c>
      <c r="G163" s="32">
        <f t="shared" si="87"/>
        <v>0.6094808126</v>
      </c>
      <c r="H163" s="32">
        <f t="shared" si="87"/>
        <v>1.689370055</v>
      </c>
      <c r="I163" s="32">
        <f t="shared" si="87"/>
        <v>0</v>
      </c>
      <c r="J163" s="32">
        <f t="shared" si="87"/>
        <v>0</v>
      </c>
      <c r="K163" s="32">
        <f t="shared" si="87"/>
        <v>0.6189957413</v>
      </c>
      <c r="L163" s="32">
        <f t="shared" si="87"/>
        <v>0.4893617021</v>
      </c>
      <c r="M163" s="32">
        <f t="shared" si="87"/>
        <v>3.818615752</v>
      </c>
      <c r="N163" s="32">
        <f t="shared" si="87"/>
        <v>0.6507592191</v>
      </c>
      <c r="O163" s="32">
        <f t="shared" si="87"/>
        <v>0.1931362353</v>
      </c>
      <c r="P163" s="32">
        <f t="shared" si="87"/>
        <v>2.31241376</v>
      </c>
      <c r="Q163" s="32">
        <f t="shared" si="87"/>
        <v>0.3214285714</v>
      </c>
      <c r="R163" s="32">
        <f>min(R156)</f>
        <v>0.2032461311</v>
      </c>
      <c r="S163" s="32">
        <f t="shared" ref="S163:T163" si="88">min(S156:S160)</f>
        <v>2.979842244</v>
      </c>
      <c r="T163" s="32">
        <f t="shared" si="88"/>
        <v>2.383531961</v>
      </c>
      <c r="U163" s="32">
        <f>min(U156,U159)</f>
        <v>5.396565822</v>
      </c>
      <c r="V163" s="32">
        <f>min(V156:V158,V160)</f>
        <v>4.914403778</v>
      </c>
      <c r="W163" s="18"/>
      <c r="X163" s="18"/>
      <c r="Y163" s="18"/>
      <c r="Z163" s="18"/>
      <c r="AA163" s="18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</row>
    <row r="164" ht="15.75" customHeight="1">
      <c r="B164" s="32" t="s">
        <v>49</v>
      </c>
      <c r="C164" s="3">
        <f t="shared" ref="C164:Q164" si="89">AVERAGE(C156:C160)</f>
        <v>0</v>
      </c>
      <c r="D164" s="3">
        <f t="shared" si="89"/>
        <v>1.120363361</v>
      </c>
      <c r="E164" s="3">
        <f t="shared" si="89"/>
        <v>0.6129281483</v>
      </c>
      <c r="F164" s="3">
        <f t="shared" si="89"/>
        <v>2.159957439</v>
      </c>
      <c r="G164" s="3">
        <f t="shared" si="89"/>
        <v>4.713318284</v>
      </c>
      <c r="H164" s="3">
        <f t="shared" si="89"/>
        <v>3.57622985</v>
      </c>
      <c r="I164" s="3">
        <f t="shared" si="89"/>
        <v>3.973262863</v>
      </c>
      <c r="J164" s="3">
        <f t="shared" si="89"/>
        <v>6.792199059</v>
      </c>
      <c r="K164" s="3">
        <f t="shared" si="89"/>
        <v>2.84440923</v>
      </c>
      <c r="L164" s="3">
        <f t="shared" si="89"/>
        <v>0.8340425532</v>
      </c>
      <c r="M164" s="3">
        <f t="shared" si="89"/>
        <v>5.41549143</v>
      </c>
      <c r="N164" s="3">
        <f t="shared" si="89"/>
        <v>1.440750643</v>
      </c>
      <c r="O164" s="3">
        <f t="shared" si="89"/>
        <v>1.105333531</v>
      </c>
      <c r="P164" s="3">
        <f t="shared" si="89"/>
        <v>5.3052291</v>
      </c>
      <c r="Q164" s="3">
        <f t="shared" si="89"/>
        <v>0.3392857143</v>
      </c>
      <c r="R164" s="3">
        <f>AVERAGE(R156)</f>
        <v>0.2032461311</v>
      </c>
      <c r="S164" s="3">
        <f t="shared" ref="S164:T164" si="90">AVERAGE(S156:S160)</f>
        <v>5.723049956</v>
      </c>
      <c r="T164" s="3">
        <f t="shared" si="90"/>
        <v>3.516793066</v>
      </c>
      <c r="U164" s="3">
        <f>AVERAGE(U156,U159)</f>
        <v>8.784020558</v>
      </c>
      <c r="V164" s="3">
        <f>AVERAGE(V156:V158,V160)</f>
        <v>7.541322314</v>
      </c>
      <c r="W164" s="17">
        <f>AVERAGE(C164:V164)</f>
        <v>3.300061662</v>
      </c>
      <c r="X164" s="17">
        <f>STDEV(C164:V164)</f>
        <v>2.658439223</v>
      </c>
      <c r="Y164" s="17"/>
      <c r="Z164" s="17"/>
      <c r="AA164" s="18">
        <f>100-W164</f>
        <v>96.69993834</v>
      </c>
      <c r="AD164" s="30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32" t="str">
        <f>AVERAGE(AE164:AX164)</f>
        <v>#DIV/0!</v>
      </c>
      <c r="AZ164" s="32" t="str">
        <f>STDEV(AE164:AX164)</f>
        <v>#DIV/0!</v>
      </c>
      <c r="BA164" s="17" t="str">
        <f>100-AY164</f>
        <v>#DIV/0!</v>
      </c>
      <c r="BC164" s="3"/>
      <c r="BD164" s="3"/>
    </row>
    <row r="165" ht="15.75" customHeight="1">
      <c r="B165" s="32" t="s">
        <v>50</v>
      </c>
      <c r="C165" s="3">
        <f t="shared" ref="C165:Q165" si="91">STDEV(C156:C160)</f>
        <v>0</v>
      </c>
      <c r="D165" s="3">
        <f t="shared" si="91"/>
        <v>0.7567550462</v>
      </c>
      <c r="E165" s="3">
        <f t="shared" si="91"/>
        <v>1.370549005</v>
      </c>
      <c r="F165" s="3">
        <f t="shared" si="91"/>
        <v>1.116050585</v>
      </c>
      <c r="G165" s="3">
        <f t="shared" si="91"/>
        <v>3.48557146</v>
      </c>
      <c r="H165" s="3">
        <f t="shared" si="91"/>
        <v>1.274777367</v>
      </c>
      <c r="I165" s="3">
        <f t="shared" si="91"/>
        <v>2.224423594</v>
      </c>
      <c r="J165" s="3">
        <f t="shared" si="91"/>
        <v>4.824184649</v>
      </c>
      <c r="K165" s="3">
        <f t="shared" si="91"/>
        <v>2.043787387</v>
      </c>
      <c r="L165" s="3">
        <f t="shared" si="91"/>
        <v>0.2903300443</v>
      </c>
      <c r="M165" s="3">
        <f t="shared" si="91"/>
        <v>2.206916112</v>
      </c>
      <c r="N165" s="3">
        <f t="shared" si="91"/>
        <v>0.8400023362</v>
      </c>
      <c r="O165" s="3">
        <f t="shared" si="91"/>
        <v>0.9399448117</v>
      </c>
      <c r="P165" s="3">
        <f t="shared" si="91"/>
        <v>2.119513685</v>
      </c>
      <c r="Q165" s="3">
        <f t="shared" si="91"/>
        <v>0.03992978531</v>
      </c>
      <c r="R165" s="3" t="str">
        <f>STDEV(R156)</f>
        <v>#DIV/0!</v>
      </c>
      <c r="S165" s="3">
        <f t="shared" ref="S165:T165" si="92">STDEV(S156:S160)</f>
        <v>2.4342672</v>
      </c>
      <c r="T165" s="3">
        <f t="shared" si="92"/>
        <v>0.9120921275</v>
      </c>
      <c r="U165" s="3">
        <f>STDEV(U156,U159)</f>
        <v>4.79058443</v>
      </c>
      <c r="V165" s="3">
        <f>STDEV(V156:V158,V160)</f>
        <v>3.656225465</v>
      </c>
      <c r="W165" s="17">
        <f>AVERAGE(C165:Q165,S165:V165)</f>
        <v>1.859258163</v>
      </c>
      <c r="X165" s="17">
        <f>STDEV(C165:Q165,S165:V165)</f>
        <v>1.458726243</v>
      </c>
      <c r="Y165" s="18"/>
      <c r="Z165" s="18"/>
      <c r="AA165" s="18"/>
      <c r="AD165" s="30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32" t="str">
        <f>AVERAGE(AE165:AS165,AU165:AX165)</f>
        <v>#DIV/0!</v>
      </c>
      <c r="AZ165" s="32" t="str">
        <f>STDEV(AE165:AS165,AU165:AX165)</f>
        <v>#DIV/0!</v>
      </c>
      <c r="BC165" s="3"/>
      <c r="BD165" s="3"/>
    </row>
    <row r="166" ht="15.75" customHeight="1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18"/>
      <c r="X166" s="18"/>
      <c r="Y166" s="18"/>
      <c r="Z166" s="18"/>
      <c r="AA166" s="18"/>
      <c r="AC166" s="30"/>
      <c r="AD166" s="30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BC166" s="3"/>
      <c r="BD166" s="3"/>
    </row>
    <row r="167" ht="15.75" customHeight="1">
      <c r="A167" s="31" t="s">
        <v>51</v>
      </c>
      <c r="B167" s="19" t="s">
        <v>34</v>
      </c>
      <c r="C167" s="20">
        <v>0.0</v>
      </c>
      <c r="D167" s="20">
        <v>132.0</v>
      </c>
      <c r="E167" s="20">
        <v>119.0</v>
      </c>
      <c r="F167" s="3">
        <v>195.0</v>
      </c>
      <c r="G167" s="20">
        <v>303.0</v>
      </c>
      <c r="H167" s="3">
        <v>796.0</v>
      </c>
      <c r="I167" s="20">
        <v>0.0</v>
      </c>
      <c r="J167" s="20">
        <v>152.0</v>
      </c>
      <c r="K167" s="20">
        <v>525.0</v>
      </c>
      <c r="L167" s="20">
        <v>59.0</v>
      </c>
      <c r="M167" s="20">
        <v>211.0</v>
      </c>
      <c r="N167" s="20">
        <v>297.0</v>
      </c>
      <c r="O167" s="20">
        <v>346.0</v>
      </c>
      <c r="P167" s="20">
        <v>1566.0</v>
      </c>
      <c r="Q167" s="20">
        <v>18.0</v>
      </c>
      <c r="R167" s="3">
        <v>70.0</v>
      </c>
      <c r="S167" s="20">
        <v>185.0</v>
      </c>
      <c r="T167" s="32">
        <v>220.0</v>
      </c>
      <c r="U167" s="20">
        <v>1042.0</v>
      </c>
      <c r="V167" s="20">
        <v>388.0</v>
      </c>
      <c r="W167" s="18"/>
      <c r="X167" s="18"/>
      <c r="Y167" s="18"/>
      <c r="Z167" s="18"/>
      <c r="AA167" s="18"/>
      <c r="AC167" s="29"/>
      <c r="AD167" s="21"/>
      <c r="AE167" s="22"/>
      <c r="AF167" s="22"/>
      <c r="AG167" s="22"/>
      <c r="AH167" s="2"/>
      <c r="AI167" s="22"/>
      <c r="AJ167" s="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"/>
      <c r="AU167" s="22"/>
      <c r="AV167" s="30"/>
      <c r="AW167" s="22"/>
      <c r="AX167" s="22"/>
      <c r="BC167" s="20"/>
      <c r="BD167" s="20"/>
    </row>
    <row r="168" ht="15.75" customHeight="1">
      <c r="B168" s="19" t="s">
        <v>35</v>
      </c>
      <c r="C168" s="20">
        <v>0.0</v>
      </c>
      <c r="D168" s="20">
        <v>188.0</v>
      </c>
      <c r="E168" s="20">
        <v>0.0</v>
      </c>
      <c r="F168" s="3">
        <v>179.0</v>
      </c>
      <c r="G168" s="20">
        <v>416.0</v>
      </c>
      <c r="H168" s="3">
        <v>791.0</v>
      </c>
      <c r="I168" s="20">
        <v>324.0</v>
      </c>
      <c r="J168" s="20">
        <v>126.0</v>
      </c>
      <c r="K168" s="20">
        <v>125.0</v>
      </c>
      <c r="L168" s="20">
        <v>32.0</v>
      </c>
      <c r="M168" s="20">
        <v>196.0</v>
      </c>
      <c r="N168" s="20">
        <v>562.0</v>
      </c>
      <c r="O168" s="20">
        <v>26.0</v>
      </c>
      <c r="P168" s="20">
        <v>1511.0</v>
      </c>
      <c r="Q168" s="20">
        <v>18.0</v>
      </c>
      <c r="R168" s="39" t="s">
        <v>59</v>
      </c>
      <c r="S168" s="20">
        <v>154.0</v>
      </c>
      <c r="T168" s="32">
        <v>283.0</v>
      </c>
      <c r="U168" s="37" t="s">
        <v>59</v>
      </c>
      <c r="V168" s="20">
        <v>333.0</v>
      </c>
      <c r="W168" s="18"/>
      <c r="X168" s="18"/>
      <c r="Y168" s="18"/>
      <c r="Z168" s="18"/>
      <c r="AA168" s="18"/>
      <c r="AD168" s="21"/>
      <c r="AE168" s="22"/>
      <c r="AF168" s="22"/>
      <c r="AG168" s="22"/>
      <c r="AH168" s="2"/>
      <c r="AI168" s="22"/>
      <c r="AJ168" s="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"/>
      <c r="AU168" s="22"/>
      <c r="AV168" s="30"/>
      <c r="AW168" s="22"/>
      <c r="AX168" s="22"/>
      <c r="BC168" s="20"/>
      <c r="BD168" s="20"/>
    </row>
    <row r="169" ht="15.75" customHeight="1">
      <c r="B169" s="19" t="s">
        <v>36</v>
      </c>
      <c r="C169" s="20">
        <v>0.0</v>
      </c>
      <c r="D169" s="20">
        <v>120.0</v>
      </c>
      <c r="E169" s="20">
        <v>0.0</v>
      </c>
      <c r="F169" s="3">
        <v>58.0</v>
      </c>
      <c r="G169" s="20">
        <v>190.0</v>
      </c>
      <c r="H169" s="3">
        <v>284.0</v>
      </c>
      <c r="I169" s="20">
        <v>324.0</v>
      </c>
      <c r="J169" s="20">
        <v>0.0</v>
      </c>
      <c r="K169" s="20">
        <v>379.0</v>
      </c>
      <c r="L169" s="20">
        <v>37.0</v>
      </c>
      <c r="M169" s="20">
        <v>238.0</v>
      </c>
      <c r="N169" s="20">
        <v>129.0</v>
      </c>
      <c r="O169" s="20">
        <v>50.0</v>
      </c>
      <c r="P169" s="20">
        <v>1090.0</v>
      </c>
      <c r="Q169" s="20">
        <v>18.0</v>
      </c>
      <c r="R169" s="39" t="s">
        <v>59</v>
      </c>
      <c r="S169" s="20">
        <v>172.0</v>
      </c>
      <c r="T169" s="32">
        <v>399.0</v>
      </c>
      <c r="U169" s="37" t="s">
        <v>59</v>
      </c>
      <c r="V169" s="20">
        <v>876.0</v>
      </c>
      <c r="W169" s="18"/>
      <c r="X169" s="18"/>
      <c r="Y169" s="18"/>
      <c r="Z169" s="18"/>
      <c r="AA169" s="18"/>
      <c r="AD169" s="21"/>
      <c r="AE169" s="22"/>
      <c r="AF169" s="22"/>
      <c r="AG169" s="22"/>
      <c r="AH169" s="2"/>
      <c r="AI169" s="22"/>
      <c r="AJ169" s="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"/>
      <c r="AU169" s="22"/>
      <c r="AV169" s="30"/>
      <c r="AW169" s="22"/>
      <c r="AX169" s="22"/>
      <c r="BC169" s="20"/>
      <c r="BD169" s="20"/>
    </row>
    <row r="170" ht="15.75" customHeight="1">
      <c r="B170" s="19" t="s">
        <v>37</v>
      </c>
      <c r="C170" s="20">
        <v>0.0</v>
      </c>
      <c r="D170" s="20">
        <v>0.0</v>
      </c>
      <c r="E170" s="20">
        <v>0.0</v>
      </c>
      <c r="F170" s="3">
        <v>67.0</v>
      </c>
      <c r="G170" s="20">
        <v>27.0</v>
      </c>
      <c r="H170" s="3">
        <v>509.0</v>
      </c>
      <c r="I170" s="20">
        <v>324.0</v>
      </c>
      <c r="J170" s="20">
        <v>172.0</v>
      </c>
      <c r="K170" s="20">
        <v>1236.0</v>
      </c>
      <c r="L170" s="20">
        <v>23.0</v>
      </c>
      <c r="M170" s="20">
        <v>427.0</v>
      </c>
      <c r="N170" s="20">
        <v>245.0</v>
      </c>
      <c r="O170" s="20">
        <v>164.0</v>
      </c>
      <c r="P170" s="20">
        <v>922.0</v>
      </c>
      <c r="Q170" s="20">
        <v>23.0</v>
      </c>
      <c r="R170" s="39" t="s">
        <v>59</v>
      </c>
      <c r="S170" s="20">
        <v>68.0</v>
      </c>
      <c r="T170" s="32">
        <v>299.0</v>
      </c>
      <c r="U170" s="20">
        <v>462.0</v>
      </c>
      <c r="V170" s="37" t="s">
        <v>59</v>
      </c>
      <c r="W170" s="18"/>
      <c r="X170" s="18"/>
      <c r="Y170" s="18"/>
      <c r="Z170" s="18"/>
      <c r="AA170" s="18"/>
      <c r="AD170" s="21"/>
      <c r="AE170" s="22"/>
      <c r="AF170" s="22"/>
      <c r="AG170" s="22"/>
      <c r="AH170" s="2"/>
      <c r="AI170" s="22"/>
      <c r="AJ170" s="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"/>
      <c r="AU170" s="22"/>
      <c r="AV170" s="30"/>
      <c r="AW170" s="22"/>
      <c r="AX170" s="22"/>
      <c r="BC170" s="37"/>
      <c r="BD170" s="37"/>
    </row>
    <row r="171" ht="15.75" customHeight="1">
      <c r="B171" s="19" t="s">
        <v>38</v>
      </c>
      <c r="C171" s="20">
        <v>0.0</v>
      </c>
      <c r="D171" s="20">
        <v>78.0</v>
      </c>
      <c r="E171" s="20">
        <v>0.0</v>
      </c>
      <c r="F171" s="3">
        <v>110.0</v>
      </c>
      <c r="G171" s="20">
        <v>108.0</v>
      </c>
      <c r="H171" s="3">
        <v>626.0</v>
      </c>
      <c r="I171" s="20">
        <v>306.0</v>
      </c>
      <c r="J171" s="20">
        <v>55.0</v>
      </c>
      <c r="K171" s="20">
        <v>607.0</v>
      </c>
      <c r="L171" s="20">
        <v>45.0</v>
      </c>
      <c r="M171" s="20">
        <v>176.0</v>
      </c>
      <c r="N171" s="20">
        <v>195.0</v>
      </c>
      <c r="O171" s="20">
        <v>158.0</v>
      </c>
      <c r="P171" s="20">
        <v>486.0</v>
      </c>
      <c r="Q171" s="20">
        <v>18.0</v>
      </c>
      <c r="R171" s="39" t="s">
        <v>59</v>
      </c>
      <c r="S171" s="20">
        <v>74.0</v>
      </c>
      <c r="T171" s="32">
        <v>422.0</v>
      </c>
      <c r="U171" s="37" t="s">
        <v>59</v>
      </c>
      <c r="V171" s="20">
        <v>447.0</v>
      </c>
      <c r="W171" s="18"/>
      <c r="X171" s="18"/>
      <c r="Y171" s="18"/>
      <c r="Z171" s="18"/>
      <c r="AA171" s="18"/>
      <c r="AD171" s="21"/>
      <c r="AE171" s="22"/>
      <c r="AF171" s="22"/>
      <c r="AG171" s="22"/>
      <c r="AH171" s="2"/>
      <c r="AI171" s="22"/>
      <c r="AJ171" s="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"/>
      <c r="AU171" s="22"/>
      <c r="AV171" s="30"/>
      <c r="AW171" s="22"/>
      <c r="AX171" s="22"/>
      <c r="BC171" s="20"/>
      <c r="BD171" s="20"/>
    </row>
    <row r="172" ht="15.75" customHeight="1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18"/>
      <c r="X172" s="18"/>
      <c r="Y172" s="18"/>
      <c r="Z172" s="18"/>
      <c r="AA172" s="18"/>
      <c r="AC172" s="30"/>
      <c r="AD172" s="30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BC172" s="3"/>
      <c r="BD172" s="3"/>
    </row>
    <row r="173" ht="15.75" customHeight="1">
      <c r="A173" s="32" t="s">
        <v>52</v>
      </c>
      <c r="C173" s="3">
        <v>2290.0</v>
      </c>
      <c r="D173" s="3">
        <v>9247.0</v>
      </c>
      <c r="E173" s="3">
        <v>3883.0</v>
      </c>
      <c r="F173" s="3">
        <v>5639.0</v>
      </c>
      <c r="G173" s="3">
        <v>4430.0</v>
      </c>
      <c r="H173" s="3">
        <v>16811.0</v>
      </c>
      <c r="I173" s="3">
        <v>6433.0</v>
      </c>
      <c r="J173" s="3">
        <v>1487.0</v>
      </c>
      <c r="K173" s="3">
        <v>20194.0</v>
      </c>
      <c r="L173" s="3">
        <v>4700.0</v>
      </c>
      <c r="M173" s="3">
        <v>4609.0</v>
      </c>
      <c r="N173" s="3">
        <v>19823.0</v>
      </c>
      <c r="O173" s="3">
        <v>13462.0</v>
      </c>
      <c r="P173" s="3">
        <v>21017.0</v>
      </c>
      <c r="Q173" s="3">
        <v>5600.0</v>
      </c>
      <c r="R173" s="3">
        <v>34441.0</v>
      </c>
      <c r="S173" s="3">
        <v>2282.0</v>
      </c>
      <c r="T173" s="3">
        <v>9230.0</v>
      </c>
      <c r="U173" s="3">
        <v>8561.0</v>
      </c>
      <c r="V173" s="3">
        <v>6776.0</v>
      </c>
      <c r="W173" s="18"/>
      <c r="X173" s="18"/>
      <c r="Y173" s="18"/>
      <c r="Z173" s="18"/>
      <c r="AA173" s="18"/>
      <c r="AC173" s="30"/>
      <c r="AD173" s="30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BC173" s="3"/>
      <c r="BD173" s="3"/>
    </row>
    <row r="174" ht="15.75" customHeight="1"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</row>
    <row r="175" ht="15.75" customHeight="1"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</row>
    <row r="176" ht="15.75" customHeight="1"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</row>
    <row r="177" ht="15.75" customHeight="1"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7">
    <mergeCell ref="BA89:BB89"/>
    <mergeCell ref="BA96:BB96"/>
    <mergeCell ref="BA108:BB108"/>
    <mergeCell ref="BA121:BB121"/>
    <mergeCell ref="BA142:BB142"/>
    <mergeCell ref="BA155:BB155"/>
    <mergeCell ref="BA157:BB157"/>
    <mergeCell ref="BA164:BB164"/>
    <mergeCell ref="BA55:BB55"/>
    <mergeCell ref="BA62:BB62"/>
    <mergeCell ref="BA74:BB74"/>
    <mergeCell ref="BA80:BB80"/>
    <mergeCell ref="BA81:BB81"/>
    <mergeCell ref="BA86:BB86"/>
    <mergeCell ref="BA87:BB87"/>
    <mergeCell ref="A65:A69"/>
    <mergeCell ref="A73:V73"/>
    <mergeCell ref="AC73:AX73"/>
    <mergeCell ref="A75:A80"/>
    <mergeCell ref="AD80:AF80"/>
    <mergeCell ref="A81:A86"/>
    <mergeCell ref="AG86:AI86"/>
    <mergeCell ref="A88:A97"/>
    <mergeCell ref="A99:A103"/>
    <mergeCell ref="A107:V107"/>
    <mergeCell ref="AC107:AX107"/>
    <mergeCell ref="M109:M111"/>
    <mergeCell ref="AD114:AF114"/>
    <mergeCell ref="BA114:BB114"/>
    <mergeCell ref="A149:A154"/>
    <mergeCell ref="A156:A165"/>
    <mergeCell ref="AC156:AC165"/>
    <mergeCell ref="A167:A171"/>
    <mergeCell ref="AC167:AC171"/>
    <mergeCell ref="A109:A114"/>
    <mergeCell ref="A115:A120"/>
    <mergeCell ref="A122:A131"/>
    <mergeCell ref="A133:A137"/>
    <mergeCell ref="A141:V141"/>
    <mergeCell ref="A143:A148"/>
    <mergeCell ref="S143:S145"/>
    <mergeCell ref="E2:F2"/>
    <mergeCell ref="G2:H2"/>
    <mergeCell ref="A3:F3"/>
    <mergeCell ref="A4:V4"/>
    <mergeCell ref="AD4:AF4"/>
    <mergeCell ref="AG4:AI4"/>
    <mergeCell ref="BA5:BB5"/>
    <mergeCell ref="BA18:BB18"/>
    <mergeCell ref="BA19:BB19"/>
    <mergeCell ref="AD11:AF11"/>
    <mergeCell ref="AC31:AC35"/>
    <mergeCell ref="AC99:AC103"/>
    <mergeCell ref="AG120:AI120"/>
    <mergeCell ref="AC122:AC131"/>
    <mergeCell ref="AC133:AC137"/>
    <mergeCell ref="AD148:AF148"/>
    <mergeCell ref="AG154:AI154"/>
    <mergeCell ref="C2:D2"/>
    <mergeCell ref="A6:A11"/>
    <mergeCell ref="BA11:BB11"/>
    <mergeCell ref="A13:A18"/>
    <mergeCell ref="AG18:AI18"/>
    <mergeCell ref="A20:A29"/>
    <mergeCell ref="A31:A35"/>
    <mergeCell ref="A39:V39"/>
    <mergeCell ref="AC39:AX39"/>
    <mergeCell ref="A41:A46"/>
    <mergeCell ref="AD46:AF46"/>
    <mergeCell ref="A47:A52"/>
    <mergeCell ref="AG52:AI52"/>
    <mergeCell ref="A54:A63"/>
    <mergeCell ref="BA115:BB115"/>
    <mergeCell ref="BA120:BB120"/>
    <mergeCell ref="BA123:BB123"/>
    <mergeCell ref="BA130:BB130"/>
    <mergeCell ref="AC141:AX141"/>
    <mergeCell ref="BA148:BB148"/>
    <mergeCell ref="BA149:BB149"/>
    <mergeCell ref="BA154:BB154"/>
    <mergeCell ref="BA12:BB12"/>
    <mergeCell ref="BA28:BB28"/>
    <mergeCell ref="BA40:BB40"/>
    <mergeCell ref="BA46:BB46"/>
    <mergeCell ref="BA47:BB47"/>
    <mergeCell ref="BA52:BB52"/>
    <mergeCell ref="BA53:BB53"/>
  </mergeCells>
  <drawing r:id="rId1"/>
</worksheet>
</file>